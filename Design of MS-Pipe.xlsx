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vs513\OneDrive\Desktop\BTP 2026\Design\"/>
    </mc:Choice>
  </mc:AlternateContent>
  <xr:revisionPtr revIDLastSave="0" documentId="13_ncr:1_{9BB66631-BE8B-4495-B5E2-C5B003C770F5}" xr6:coauthVersionLast="47" xr6:coauthVersionMax="47" xr10:uidLastSave="{00000000-0000-0000-0000-000000000000}"/>
  <bookViews>
    <workbookView xWindow="-108" yWindow="-108" windowWidth="23256" windowHeight="12456" xr2:uid="{00000000-000D-0000-FFFF-FFFF00000000}"/>
  </bookViews>
  <sheets>
    <sheet name="Details" sheetId="6" r:id="rId1"/>
    <sheet name="Calculations" sheetId="1" r:id="rId2"/>
    <sheet name="Pipe Sizes" sheetId="2" r:id="rId3"/>
    <sheet name="Grade of steel" sheetId="3" r:id="rId4"/>
    <sheet name="Load co-efficient Cd" sheetId="4" r:id="rId5"/>
    <sheet name="CWC and IWWA Tables" sheetId="5" r:id="rId6"/>
    <sheet name="Final Report"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0" l="1"/>
  <c r="B4" i="10" a="1"/>
  <c r="D13" i="10"/>
  <c r="C14" i="10"/>
  <c r="C15" i="10"/>
  <c r="C121" i="10"/>
  <c r="C116" i="10"/>
  <c r="C117" i="10" s="1"/>
  <c r="C113" i="10"/>
  <c r="C111" i="10"/>
  <c r="C103" i="10"/>
  <c r="C87" i="10"/>
  <c r="C74" i="10"/>
  <c r="C75" i="10" s="1"/>
  <c r="C66" i="10"/>
  <c r="C67" i="10" s="1"/>
  <c r="C70" i="10" s="1"/>
  <c r="C63" i="10"/>
  <c r="C60" i="10"/>
  <c r="C90" i="10" s="1"/>
  <c r="C59" i="10"/>
  <c r="C58" i="10"/>
  <c r="C57" i="10"/>
  <c r="C56" i="10"/>
  <c r="C118" i="10" s="1"/>
  <c r="C52" i="10"/>
  <c r="C53" i="10" s="1"/>
  <c r="C40" i="10"/>
  <c r="C39" i="10"/>
  <c r="C38" i="10"/>
  <c r="C28" i="10"/>
  <c r="D28" i="10" s="1"/>
  <c r="C49" i="10"/>
  <c r="C104" i="1"/>
  <c r="C102" i="1"/>
  <c r="C112" i="1"/>
  <c r="C65" i="1"/>
  <c r="C66" i="1" s="1"/>
  <c r="C49" i="1"/>
  <c r="C48" i="1"/>
  <c r="C47" i="1"/>
  <c r="C109" i="1" s="1"/>
  <c r="C43" i="1"/>
  <c r="C44" i="1" s="1"/>
  <c r="C31" i="1"/>
  <c r="C30" i="1"/>
  <c r="C29" i="1"/>
  <c r="C110" i="1" s="1"/>
  <c r="C6" i="1"/>
  <c r="C5" i="1"/>
  <c r="C40" i="1" s="1"/>
  <c r="C4" i="1"/>
  <c r="D4" i="1" s="1"/>
  <c r="C107" i="1"/>
  <c r="C91" i="1"/>
  <c r="C94" i="1"/>
  <c r="C136" i="1"/>
  <c r="C105" i="1"/>
  <c r="C133" i="1"/>
  <c r="C78" i="1"/>
  <c r="C71" i="1"/>
  <c r="C57" i="1"/>
  <c r="C58" i="1" s="1"/>
  <c r="C61" i="1" s="1"/>
  <c r="C114" i="1" s="1"/>
  <c r="C144" i="1" s="1"/>
  <c r="C54" i="1"/>
  <c r="C51" i="1"/>
  <c r="C81" i="1" s="1"/>
  <c r="C19" i="1"/>
  <c r="D19" i="1" s="1"/>
  <c r="C142" i="10" l="1"/>
  <c r="C114" i="10"/>
  <c r="C123" i="10"/>
  <c r="C153" i="10" s="1"/>
  <c r="C55" i="10"/>
  <c r="C54" i="10"/>
  <c r="C73" i="10"/>
  <c r="C145" i="10"/>
  <c r="C119" i="10"/>
  <c r="C42" i="10"/>
  <c r="C85" i="10" s="1"/>
  <c r="C100" i="10"/>
  <c r="C105" i="10" s="1"/>
  <c r="D105" i="10" s="1"/>
  <c r="C41" i="10"/>
  <c r="C80" i="10"/>
  <c r="C19" i="10"/>
  <c r="C20" i="10" s="1"/>
  <c r="C22" i="10" s="1"/>
  <c r="C96" i="1"/>
  <c r="C64" i="1"/>
  <c r="C46" i="1"/>
  <c r="C45" i="1"/>
  <c r="C10" i="1"/>
  <c r="C11" i="1" s="1"/>
  <c r="C13" i="1" s="1"/>
  <c r="C14" i="1" s="1"/>
  <c r="C47" i="10" l="1"/>
  <c r="C86" i="10" s="1"/>
  <c r="C88" i="10" s="1"/>
  <c r="C89" i="10" s="1"/>
  <c r="C92" i="10" s="1"/>
  <c r="D92" i="10" s="1"/>
  <c r="C107" i="10" s="1"/>
  <c r="C108" i="10" s="1"/>
  <c r="C71" i="10"/>
  <c r="C78" i="10" s="1"/>
  <c r="C79" i="10" s="1"/>
  <c r="C81" i="10" s="1"/>
  <c r="D81" i="10" s="1"/>
  <c r="C124" i="10"/>
  <c r="C23" i="10"/>
  <c r="B31" i="10" s="1"/>
  <c r="B32" i="10" s="1"/>
  <c r="B33" i="10" s="1"/>
  <c r="C33" i="10" s="1"/>
  <c r="D96" i="1"/>
  <c r="C50" i="1"/>
  <c r="C32" i="1"/>
  <c r="C38" i="1" s="1"/>
  <c r="C77" i="1" s="1"/>
  <c r="C79" i="1" s="1"/>
  <c r="C80" i="1" s="1"/>
  <c r="C33" i="1"/>
  <c r="C76" i="1" s="1"/>
  <c r="B22" i="1"/>
  <c r="B23" i="1" s="1"/>
  <c r="B24" i="1" s="1"/>
  <c r="C24" i="1" s="1"/>
  <c r="D108" i="10" l="1"/>
  <c r="C115" i="10" s="1"/>
  <c r="C83" i="1"/>
  <c r="D83" i="1" s="1"/>
  <c r="C98" i="1" s="1"/>
  <c r="C99" i="1" s="1"/>
  <c r="D99" i="1" s="1"/>
  <c r="C106" i="1" s="1"/>
  <c r="C108" i="1"/>
  <c r="C115" i="1"/>
  <c r="C62" i="1"/>
  <c r="C69" i="1" s="1"/>
  <c r="C70" i="1" s="1"/>
  <c r="C72" i="1" s="1"/>
  <c r="D72" i="1" s="1"/>
  <c r="C152" i="10" l="1"/>
  <c r="C154" i="10" s="1"/>
  <c r="C156" i="10" s="1"/>
  <c r="C136" i="10"/>
  <c r="C138" i="10" s="1"/>
  <c r="D138" i="10" s="1"/>
  <c r="C129" i="10"/>
  <c r="C131" i="10" s="1"/>
  <c r="D131" i="10" s="1"/>
  <c r="C143" i="10"/>
  <c r="C144" i="10" s="1"/>
  <c r="C146" i="10" s="1"/>
  <c r="C148" i="10" s="1"/>
  <c r="C127" i="1"/>
  <c r="C129" i="1" s="1"/>
  <c r="D129" i="1" s="1"/>
  <c r="C143" i="1"/>
  <c r="C145" i="1" s="1"/>
  <c r="C147" i="1" s="1"/>
  <c r="C120" i="1"/>
  <c r="C122" i="1" s="1"/>
  <c r="D122" i="1" s="1"/>
  <c r="C134" i="1"/>
  <c r="C135" i="1" s="1"/>
  <c r="C137" i="1" s="1"/>
  <c r="C139"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<sst xmlns="http://schemas.openxmlformats.org/spreadsheetml/2006/main" count="503" uniqueCount="212">
  <si>
    <t>Parameter</t>
  </si>
  <si>
    <t>Unit</t>
  </si>
  <si>
    <t>Value</t>
  </si>
  <si>
    <t>Round Off Value</t>
  </si>
  <si>
    <r>
      <t>m</t>
    </r>
    <r>
      <rPr>
        <vertAlign val="superscript"/>
        <sz val="11"/>
        <color theme="1"/>
        <rFont val="Calibri"/>
        <family val="2"/>
        <scheme val="minor"/>
      </rPr>
      <t>3</t>
    </r>
    <r>
      <rPr>
        <sz val="11"/>
        <color theme="1"/>
        <rFont val="Calibri"/>
        <family val="2"/>
        <scheme val="minor"/>
      </rPr>
      <t>/s</t>
    </r>
  </si>
  <si>
    <t>Design discharge (Q)</t>
  </si>
  <si>
    <t>Total pipe length (L)</t>
  </si>
  <si>
    <t>Static head(Hs)</t>
  </si>
  <si>
    <t>m</t>
  </si>
  <si>
    <t>m/km</t>
  </si>
  <si>
    <t>Frictional head Loss (Hf)</t>
  </si>
  <si>
    <t>Dynamic Head (Hd)</t>
  </si>
  <si>
    <t>Not Considered in India</t>
  </si>
  <si>
    <t>As per CWC Section 5.3, a friction-loss range of 0.4–1.5 m per 1,000 m will generally be economical</t>
  </si>
  <si>
    <t xml:space="preserve">10% increase for design dicharge as factor of safety </t>
  </si>
  <si>
    <t xml:space="preserve">km </t>
  </si>
  <si>
    <r>
      <t>m</t>
    </r>
    <r>
      <rPr>
        <vertAlign val="superscript"/>
        <sz val="11"/>
        <color theme="1"/>
        <rFont val="Calibri"/>
        <family val="2"/>
        <scheme val="minor"/>
      </rPr>
      <t>2</t>
    </r>
  </si>
  <si>
    <t>Velocity (V)</t>
  </si>
  <si>
    <t>m/sec</t>
  </si>
  <si>
    <t>As per CWC v&lt;3m/sec and as per CPHEEO v&lt;2.5 m/sec For raw water</t>
  </si>
  <si>
    <t>Area (A)</t>
  </si>
  <si>
    <t>Maximum Diameter</t>
  </si>
  <si>
    <t>Diameter (D)</t>
  </si>
  <si>
    <t>No. of Pipes</t>
  </si>
  <si>
    <t>Diameter of Each Pipe</t>
  </si>
  <si>
    <t>Available internal diameter (m)</t>
  </si>
  <si>
    <t xml:space="preserve">Data </t>
  </si>
  <si>
    <t>3.5 m Diameter can easily be transported so economical</t>
  </si>
  <si>
    <t>Diameter Calculation</t>
  </si>
  <si>
    <t>Total Head-loss Calculation</t>
  </si>
  <si>
    <t>Velocity Check</t>
  </si>
  <si>
    <t>Area</t>
  </si>
  <si>
    <t xml:space="preserve">Velocity </t>
  </si>
  <si>
    <t>&lt;2m/s</t>
  </si>
  <si>
    <t>Design of MS-Pipeline</t>
  </si>
  <si>
    <t>Remarks</t>
  </si>
  <si>
    <t>STRUCTURAL DESIGN FOR M.S. PIPE</t>
  </si>
  <si>
    <t>Inner Diameter of Pipe(D)</t>
  </si>
  <si>
    <t>Assumed Thickness (t)</t>
  </si>
  <si>
    <t>mm</t>
  </si>
  <si>
    <t>Internal lining</t>
  </si>
  <si>
    <t>As per IS 1916 : 2018 Table 2</t>
  </si>
  <si>
    <t>Diameter of Base Pipeline</t>
  </si>
  <si>
    <t>Outside diameter of pipe Including Guniting</t>
  </si>
  <si>
    <t>External Guniting thickness</t>
  </si>
  <si>
    <t>Pressure on pipeline due to Working design</t>
  </si>
  <si>
    <t>m of water</t>
  </si>
  <si>
    <t>As per IS 1916 : 2018 Section-3</t>
  </si>
  <si>
    <t>Pressure on the pipeline due to surge effect after providing surge protection system, if any</t>
  </si>
  <si>
    <r>
      <t>t/m</t>
    </r>
    <r>
      <rPr>
        <vertAlign val="superscript"/>
        <sz val="11"/>
        <color theme="1"/>
        <rFont val="Calibri"/>
        <family val="2"/>
        <scheme val="minor"/>
      </rPr>
      <t>3</t>
    </r>
  </si>
  <si>
    <t>Bedding angle</t>
  </si>
  <si>
    <t>Degrees</t>
  </si>
  <si>
    <t>25-30</t>
  </si>
  <si>
    <r>
      <t>Trench width (B</t>
    </r>
    <r>
      <rPr>
        <vertAlign val="subscript"/>
        <sz val="11"/>
        <color theme="1"/>
        <rFont val="Calibri"/>
        <family val="2"/>
        <scheme val="minor"/>
      </rPr>
      <t>D</t>
    </r>
    <r>
      <rPr>
        <sz val="11"/>
        <color theme="1"/>
        <rFont val="Calibri"/>
        <family val="2"/>
        <scheme val="minor"/>
      </rPr>
      <t>)</t>
    </r>
  </si>
  <si>
    <t>Doubt</t>
  </si>
  <si>
    <t>Degree of compaction as specified in trenches</t>
  </si>
  <si>
    <t>%</t>
  </si>
  <si>
    <t>Length of pipe</t>
  </si>
  <si>
    <t>(B) PROPERTIES OF MATERIAL :</t>
  </si>
  <si>
    <t>(A) Basic Data :</t>
  </si>
  <si>
    <t>Type of Steel</t>
  </si>
  <si>
    <t>AS per IS 2062 - 1962</t>
  </si>
  <si>
    <t>Grade (Fe-style)</t>
  </si>
  <si>
    <t>Original Grade</t>
  </si>
  <si>
    <t>Tensile Strength Rm, Min (MPa)</t>
  </si>
  <si>
    <t>Yield Stress &lt;20 mm, Min (MPa)</t>
  </si>
  <si>
    <t>Fe-410</t>
  </si>
  <si>
    <t>E 250</t>
  </si>
  <si>
    <t>Fe-430</t>
  </si>
  <si>
    <t>E 275</t>
  </si>
  <si>
    <t>Fe-440</t>
  </si>
  <si>
    <t>E 300</t>
  </si>
  <si>
    <t>Fe-490</t>
  </si>
  <si>
    <t>E 350</t>
  </si>
  <si>
    <t>Fe-540</t>
  </si>
  <si>
    <t>E 410</t>
  </si>
  <si>
    <t>Fe-570</t>
  </si>
  <si>
    <t>E 450</t>
  </si>
  <si>
    <t>Fe-650</t>
  </si>
  <si>
    <t>E 550</t>
  </si>
  <si>
    <t>Fe-730</t>
  </si>
  <si>
    <t>E 600</t>
  </si>
  <si>
    <t>Fe-780</t>
  </si>
  <si>
    <t>E 650</t>
  </si>
  <si>
    <t>Yield Stress</t>
  </si>
  <si>
    <r>
      <t>kg/cm</t>
    </r>
    <r>
      <rPr>
        <vertAlign val="superscript"/>
        <sz val="11"/>
        <color theme="1"/>
        <rFont val="Calibri"/>
        <family val="2"/>
        <scheme val="minor"/>
      </rPr>
      <t>2</t>
    </r>
  </si>
  <si>
    <t>Permissible compressive stress at 50% of Ys. for efficiency of welding Joint</t>
  </si>
  <si>
    <t>Permissible tensile stress at 60% of Ys. for efficiency of welding joint</t>
  </si>
  <si>
    <t>Modulus of elasticity of pipe material (E)</t>
  </si>
  <si>
    <t>Aussumed fos=2 for compression</t>
  </si>
  <si>
    <t>Aussumed fos=1.67 for Tension</t>
  </si>
  <si>
    <t>Density of lining mortar</t>
  </si>
  <si>
    <t>Modulus of elasticity of C.M. lining (Es)</t>
  </si>
  <si>
    <t>Permissible deflection for mortar line and coated pipe (Δx)</t>
  </si>
  <si>
    <t>2 % of nominal diameter of pipe</t>
  </si>
  <si>
    <t>Unit weight of saturated fill</t>
  </si>
  <si>
    <r>
      <t>Kg/m</t>
    </r>
    <r>
      <rPr>
        <vertAlign val="superscript"/>
        <sz val="11"/>
        <color theme="1"/>
        <rFont val="Calibri"/>
        <family val="2"/>
        <scheme val="minor"/>
      </rPr>
      <t>3</t>
    </r>
  </si>
  <si>
    <r>
      <t>Kg/cm</t>
    </r>
    <r>
      <rPr>
        <vertAlign val="superscript"/>
        <sz val="11"/>
        <color theme="1"/>
        <rFont val="Calibri"/>
        <family val="2"/>
        <scheme val="minor"/>
      </rPr>
      <t>3</t>
    </r>
  </si>
  <si>
    <r>
      <t>Kg/cm</t>
    </r>
    <r>
      <rPr>
        <vertAlign val="superscript"/>
        <sz val="11"/>
        <color theme="1"/>
        <rFont val="Calibri"/>
        <family val="2"/>
        <scheme val="minor"/>
      </rPr>
      <t>2</t>
    </r>
  </si>
  <si>
    <t>Cover of earth fill to pipe (H)</t>
  </si>
  <si>
    <t>Minimum 1.2m as per PNGRB — Pipeline Regulations, Table 3</t>
  </si>
  <si>
    <t>Atmospheric pressure</t>
  </si>
  <si>
    <t>round off of 10.33</t>
  </si>
  <si>
    <t>(C) DESIGN OF SHELL THICKNESS</t>
  </si>
  <si>
    <t>Design based on working pressure of pipeline</t>
  </si>
  <si>
    <t>As Per IS 5822.1994 Annex B</t>
  </si>
  <si>
    <t xml:space="preserve">Shell Thickness: </t>
  </si>
  <si>
    <t>Where:</t>
  </si>
  <si>
    <t>P = Internal pressure (Working Pressure)</t>
  </si>
  <si>
    <t>D = Outside diameter</t>
  </si>
  <si>
    <t>cm</t>
  </si>
  <si>
    <t>a = Design factor (60%)</t>
  </si>
  <si>
    <t>f = Specified yield stress</t>
  </si>
  <si>
    <t>Type of welding</t>
  </si>
  <si>
    <t>Field Welding</t>
  </si>
  <si>
    <t>0.6 for working pressure and 0.9 for Test pressure inclusive of surge pressure</t>
  </si>
  <si>
    <t>e = Welding coefficient</t>
  </si>
  <si>
    <t>calculated thickness</t>
  </si>
  <si>
    <t>assumed thickness</t>
  </si>
  <si>
    <t>Shell Thickness Check</t>
  </si>
  <si>
    <t>Total Head Loss (H)</t>
  </si>
  <si>
    <t>(1) Load due to Fill</t>
  </si>
  <si>
    <r>
      <t>Trench width at the top of the pipe (B</t>
    </r>
    <r>
      <rPr>
        <vertAlign val="subscript"/>
        <sz val="11"/>
        <color theme="1"/>
        <rFont val="Calibri"/>
        <family val="2"/>
        <scheme val="minor"/>
      </rPr>
      <t>D</t>
    </r>
    <r>
      <rPr>
        <sz val="11"/>
        <color theme="1"/>
        <rFont val="Calibri"/>
        <family val="2"/>
        <scheme val="minor"/>
      </rPr>
      <t>)</t>
    </r>
  </si>
  <si>
    <r>
      <t>Ratio H/B</t>
    </r>
    <r>
      <rPr>
        <vertAlign val="subscript"/>
        <sz val="11"/>
        <color theme="1"/>
        <rFont val="Calibri"/>
        <family val="2"/>
        <scheme val="minor"/>
      </rPr>
      <t>D</t>
    </r>
  </si>
  <si>
    <t>Saturated density of filling (ϒs )</t>
  </si>
  <si>
    <t>Load co-efficient Cd</t>
  </si>
  <si>
    <t>from table 6.3 of IELRC.ORG - Manual on Sewerage and Sewage Treatment, 1993</t>
  </si>
  <si>
    <t>from Section 6 of IELRC.ORG - Manual on Sewerage and Sewage Treatment, 1993</t>
  </si>
  <si>
    <t>Minimum, no cohesion</t>
  </si>
  <si>
    <t>Maximum ordinary sand</t>
  </si>
  <si>
    <t>Completely top soil</t>
  </si>
  <si>
    <t>Ordinary maximum clay</t>
  </si>
  <si>
    <t>Extreme maximum clay</t>
  </si>
  <si>
    <t>Very great</t>
  </si>
  <si>
    <t>Table 6.3 of Manual on Sewer</t>
  </si>
  <si>
    <t>H/Bd</t>
  </si>
  <si>
    <t>Distribution of load for normal trench conditions (Wc)</t>
  </si>
  <si>
    <r>
      <t>Outside diameter of pipe with guniting (B</t>
    </r>
    <r>
      <rPr>
        <vertAlign val="subscript"/>
        <sz val="11"/>
        <color theme="1"/>
        <rFont val="Calibri"/>
        <family val="2"/>
        <scheme val="minor"/>
      </rPr>
      <t>c</t>
    </r>
    <r>
      <rPr>
        <sz val="11"/>
        <color theme="1"/>
        <rFont val="Calibri"/>
        <family val="2"/>
        <scheme val="minor"/>
      </rPr>
      <t>)</t>
    </r>
  </si>
  <si>
    <t>Equation 6.6 of IELRC.ORG - Manual on Sewerage and Sewage Treatment, 1993</t>
  </si>
  <si>
    <t>Wc</t>
  </si>
  <si>
    <t>Kg/m</t>
  </si>
  <si>
    <t>(2) Load Due to self weight of pipe shell, gunite and water</t>
  </si>
  <si>
    <t>Self Wt. of Pipe without Lining and Guniting</t>
  </si>
  <si>
    <t>Wt of Internal lining</t>
  </si>
  <si>
    <t>Wt of guniting</t>
  </si>
  <si>
    <t>Wt of water</t>
  </si>
  <si>
    <t>Total Factored Weight (Wp)</t>
  </si>
  <si>
    <t>Total load Wo = Wc + Wp</t>
  </si>
  <si>
    <t>Kg/cm</t>
  </si>
  <si>
    <t>Calculations</t>
  </si>
  <si>
    <t>(D.1) DEFLECTION OF PIPE :</t>
  </si>
  <si>
    <t>Angle of uniformity spread load</t>
  </si>
  <si>
    <t>Time lag factor (Deflection lag factor) De</t>
  </si>
  <si>
    <t>Bedding reaction angle</t>
  </si>
  <si>
    <t xml:space="preserve"> As per AWWA Manual Deflection lag factor (De) accounts for long-term deflection as a result of consolidation or settlement of backfill material at the sides of the pipe. Because the steel pipe is designed for the maximum possible soil load directly over the outside diameter of the pipe when the prism load (W) is used, Di is 1.0.</t>
  </si>
  <si>
    <t>Total load (Wo)</t>
  </si>
  <si>
    <t>Radius of pipe to external face (R)</t>
  </si>
  <si>
    <t>Moment of inertia of pipe shell per unit length (I)</t>
  </si>
  <si>
    <t>As per clause no 2 of IWWA Publication No. M1, the load due to pipe shell, lining and water is partially transmitted to the ground</t>
  </si>
  <si>
    <t>Factor For Weight Calculation</t>
  </si>
  <si>
    <r>
      <t>cm</t>
    </r>
    <r>
      <rPr>
        <vertAlign val="superscript"/>
        <sz val="11"/>
        <color theme="1"/>
        <rFont val="Calibri"/>
        <family val="2"/>
        <scheme val="minor"/>
      </rPr>
      <t>3</t>
    </r>
  </si>
  <si>
    <t>Degree of compaction</t>
  </si>
  <si>
    <t>Modulus of passive resistance of soil  (e')</t>
  </si>
  <si>
    <r>
      <t>As per AWWA and CWC Manual I=t</t>
    </r>
    <r>
      <rPr>
        <vertAlign val="superscript"/>
        <sz val="11"/>
        <color theme="1"/>
        <rFont val="Calibri"/>
        <family val="2"/>
        <scheme val="minor"/>
      </rPr>
      <t>3</t>
    </r>
    <r>
      <rPr>
        <sz val="11"/>
        <color theme="1"/>
        <rFont val="Calibri"/>
        <family val="2"/>
        <scheme val="minor"/>
      </rPr>
      <t>/3</t>
    </r>
  </si>
  <si>
    <t>External negative pressure intensity (Pe)</t>
  </si>
  <si>
    <t>0.33 As Per IS 5822 Annex B , B-3.1 but taking 0.2 for more safety</t>
  </si>
  <si>
    <t>Internal Pressure (Pi)</t>
  </si>
  <si>
    <t>(D.1.1) Deflection of underground laid pipe for external load and partial vacuum pressure</t>
  </si>
  <si>
    <t>As per 3.11 IWWA Manual</t>
  </si>
  <si>
    <t>Permissible Deflection (Δx)</t>
  </si>
  <si>
    <r>
      <t>Co-efficient from vertical bending ( K</t>
    </r>
    <r>
      <rPr>
        <vertAlign val="subscript"/>
        <sz val="11"/>
        <color theme="1"/>
        <rFont val="Calibri"/>
        <family val="2"/>
        <scheme val="minor"/>
      </rPr>
      <t>θ</t>
    </r>
    <r>
      <rPr>
        <sz val="11"/>
        <color theme="1"/>
        <rFont val="Calibri"/>
        <family val="2"/>
        <scheme val="minor"/>
      </rPr>
      <t xml:space="preserve"> )</t>
    </r>
  </si>
  <si>
    <t>Check for Deflection D.1.1</t>
  </si>
  <si>
    <t>(D.1.2) Deflection of underground pipe for external load with internal pressure</t>
  </si>
  <si>
    <r>
      <t>Δx</t>
    </r>
    <r>
      <rPr>
        <vertAlign val="subscript"/>
        <sz val="11"/>
        <color theme="1"/>
        <rFont val="Calibri"/>
        <family val="2"/>
        <scheme val="minor"/>
      </rPr>
      <t>2</t>
    </r>
  </si>
  <si>
    <r>
      <t>Δx</t>
    </r>
    <r>
      <rPr>
        <vertAlign val="subscript"/>
        <sz val="11"/>
        <color theme="1"/>
        <rFont val="Calibri"/>
        <family val="2"/>
        <scheme val="minor"/>
      </rPr>
      <t>1</t>
    </r>
  </si>
  <si>
    <t>Check for Deflection D.1.2</t>
  </si>
  <si>
    <t>(D) CHECKING FOR DEFLECTION</t>
  </si>
  <si>
    <t>(E) CHECKING COMPRESSIVE STRESS OF PIPE SHELL</t>
  </si>
  <si>
    <t>Moment</t>
  </si>
  <si>
    <t>Table 3.1: Co-efficient of bending moments and deflection of elastic ring under uniformly distributed load with load spread for 0 to 180 degree</t>
  </si>
  <si>
    <t>Angle of spread θ (°)</t>
  </si>
  <si>
    <t>Kb (bottom bending)</t>
  </si>
  <si>
    <t>Kt (top bending)</t>
  </si>
  <si>
    <t>Ks (side bending)</t>
  </si>
  <si>
    <t>K0 (vertical deflection)</t>
  </si>
  <si>
    <t xml:space="preserve">Load spread: </t>
  </si>
  <si>
    <r>
      <t>Bottom bending factor (K</t>
    </r>
    <r>
      <rPr>
        <vertAlign val="subscript"/>
        <sz val="11"/>
        <color theme="1"/>
        <rFont val="Calibri"/>
        <family val="2"/>
        <scheme val="minor"/>
      </rPr>
      <t>b</t>
    </r>
    <r>
      <rPr>
        <sz val="11"/>
        <color theme="1"/>
        <rFont val="Calibri"/>
        <family val="2"/>
        <scheme val="minor"/>
      </rPr>
      <t>)</t>
    </r>
  </si>
  <si>
    <t>As per Table 3.1 IWWA Manual</t>
  </si>
  <si>
    <t>Moment (M)</t>
  </si>
  <si>
    <t>Kg.cm</t>
  </si>
  <si>
    <r>
      <t>Bending compressive stress (f</t>
    </r>
    <r>
      <rPr>
        <vertAlign val="subscript"/>
        <sz val="11"/>
        <color theme="1"/>
        <rFont val="Calibri"/>
        <family val="2"/>
        <scheme val="minor"/>
      </rPr>
      <t>b</t>
    </r>
    <r>
      <rPr>
        <sz val="11"/>
        <color theme="1"/>
        <rFont val="Calibri"/>
        <family val="2"/>
        <scheme val="minor"/>
      </rPr>
      <t>)</t>
    </r>
  </si>
  <si>
    <r>
      <t>f</t>
    </r>
    <r>
      <rPr>
        <vertAlign val="subscript"/>
        <sz val="11"/>
        <color theme="1"/>
        <rFont val="Calibri"/>
        <family val="2"/>
        <scheme val="minor"/>
      </rPr>
      <t>b</t>
    </r>
    <r>
      <rPr>
        <sz val="11"/>
        <color theme="1"/>
        <rFont val="Calibri"/>
        <family val="2"/>
        <scheme val="minor"/>
      </rPr>
      <t>=(M*6/t</t>
    </r>
    <r>
      <rPr>
        <vertAlign val="superscript"/>
        <sz val="11"/>
        <color theme="1"/>
        <rFont val="Calibri"/>
        <family val="2"/>
        <scheme val="minor"/>
      </rPr>
      <t>2</t>
    </r>
    <r>
      <rPr>
        <sz val="11"/>
        <color theme="1"/>
        <rFont val="Calibri"/>
        <family val="2"/>
        <scheme val="minor"/>
      </rPr>
      <t>) as per 3.15 IWWA Manual</t>
    </r>
  </si>
  <si>
    <r>
      <t>Actual hoop stress(f</t>
    </r>
    <r>
      <rPr>
        <vertAlign val="subscript"/>
        <sz val="11"/>
        <color theme="1"/>
        <rFont val="Calibri"/>
        <family val="2"/>
        <scheme val="minor"/>
      </rPr>
      <t>h</t>
    </r>
    <r>
      <rPr>
        <sz val="11"/>
        <color theme="1"/>
        <rFont val="Calibri"/>
        <family val="2"/>
        <scheme val="minor"/>
      </rPr>
      <t>)</t>
    </r>
  </si>
  <si>
    <r>
      <t>f</t>
    </r>
    <r>
      <rPr>
        <vertAlign val="subscript"/>
        <sz val="11"/>
        <color theme="1"/>
        <rFont val="Calibri"/>
        <family val="2"/>
        <scheme val="minor"/>
      </rPr>
      <t>h</t>
    </r>
    <r>
      <rPr>
        <sz val="11"/>
        <color theme="1"/>
        <rFont val="Calibri"/>
        <family val="2"/>
        <scheme val="minor"/>
      </rPr>
      <t>=P</t>
    </r>
    <r>
      <rPr>
        <vertAlign val="subscript"/>
        <sz val="11"/>
        <color theme="1"/>
        <rFont val="Calibri"/>
        <family val="2"/>
        <scheme val="minor"/>
      </rPr>
      <t>e</t>
    </r>
    <r>
      <rPr>
        <sz val="11"/>
        <color theme="1"/>
        <rFont val="Calibri"/>
        <family val="2"/>
        <scheme val="minor"/>
      </rPr>
      <t>*D/2t</t>
    </r>
  </si>
  <si>
    <t>Total compressive Stress (fc)</t>
  </si>
  <si>
    <t>Round to Nearest Up Tens</t>
  </si>
  <si>
    <t>Check for Compressive Stress E</t>
  </si>
  <si>
    <t>(F) CHECKING TENSILE STRESS OF PIPE SHELL</t>
  </si>
  <si>
    <t>Tensile stress</t>
  </si>
  <si>
    <t>Tensile Stress (f)</t>
  </si>
  <si>
    <r>
      <t>Total Tensile Stress (f</t>
    </r>
    <r>
      <rPr>
        <vertAlign val="subscript"/>
        <sz val="11"/>
        <color theme="1"/>
        <rFont val="Calibri"/>
        <family val="2"/>
        <scheme val="minor"/>
      </rPr>
      <t>t</t>
    </r>
    <r>
      <rPr>
        <sz val="11"/>
        <color theme="1"/>
        <rFont val="Calibri"/>
        <family val="2"/>
        <scheme val="minor"/>
      </rPr>
      <t>)</t>
    </r>
  </si>
  <si>
    <t>Check for Tensile Stress E</t>
  </si>
  <si>
    <t>0.9 for shop welding and 0.8 for field weld</t>
  </si>
  <si>
    <t>Enter Details</t>
  </si>
  <si>
    <t>Inputs for Design</t>
  </si>
  <si>
    <t>Project Name:</t>
  </si>
  <si>
    <t>Company Name:</t>
  </si>
  <si>
    <t>Client Name:</t>
  </si>
  <si>
    <t>Moblie Number:</t>
  </si>
  <si>
    <t>Email ID:</t>
  </si>
  <si>
    <t>Hello Welcome to HydroPipe ,</t>
  </si>
  <si>
    <t>Detailed Design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</si>
</sst>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18"/>
      <color theme="1"/>
      <name val="Calibri"/>
      <family val="2"/>
      <scheme val="minor"/>
    </font>
    <font>
      <vertAlign val="superscript"/>
      <sz val="11"/>
      <color theme="1"/>
      <name val="Calibri"/>
      <family val="2"/>
      <scheme val="minor"/>
    </font>
    <font>
      <sz val="11"/>
      <name val="Calibri"/>
      <family val="2"/>
      <scheme val="minor"/>
    </font>
    <font>
      <vertAlign val="subscrip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Alignment="1">
      <alignment horizontal="center"/>
    </xf>
    <xf numFmtId="0" fontId="2" fillId="0" borderId="0" xfId="0" applyFont="1"/>
    <xf numFmtId="0" fontId="0" fillId="3" borderId="0" xfId="0" applyFill="1" applyAlignment="1">
      <alignment horizontal="center"/>
    </xf>
    <xf numFmtId="0" fontId="5" fillId="3" borderId="0" xfId="0" applyFont="1" applyFill="1"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2" fillId="0" borderId="1" xfId="0" applyFont="1" applyBorder="1"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1" fillId="0" borderId="0" xfId="0" applyFont="1"/>
    <xf numFmtId="0" fontId="5" fillId="0" borderId="0" xfId="0" applyFont="1"/>
    <xf numFmtId="0" fontId="0" fillId="0" borderId="0" xfId="0" applyAlignment="1">
      <alignment horizontal="left" wrapText="1"/>
    </xf>
    <xf numFmtId="0" fontId="0" fillId="0" borderId="0" xfId="0" applyAlignment="1">
      <alignment horizontal="left" vertical="center"/>
    </xf>
    <xf numFmtId="11" fontId="0" fillId="3" borderId="0" xfId="0" applyNumberFormat="1" applyFill="1" applyAlignment="1">
      <alignment horizontal="center"/>
    </xf>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2" fillId="5" borderId="0" xfId="0" applyFont="1" applyFill="1" applyAlignment="1">
      <alignment horizontal="center"/>
    </xf>
    <xf numFmtId="0" fontId="3" fillId="2"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center" vertical="center"/>
    </xf>
    <xf numFmtId="0" fontId="2" fillId="6" borderId="0" xfId="0" applyFont="1" applyFill="1" applyAlignment="1">
      <alignment horizontal="center"/>
    </xf>
    <xf numFmtId="0" fontId="7" fillId="0" borderId="0" xfId="0" applyFont="1" applyAlignment="1">
      <alignment horizontal="center"/>
    </xf>
    <xf numFmtId="0" fontId="0" fillId="0" borderId="0" xfId="0" applyAlignment="1"/>
    <xf numFmtId="0" fontId="0" fillId="0" borderId="0" xfId="0" applyAlignment="1">
      <alignment horizontal="center"/>
    </xf>
    <xf numFmtId="11" fontId="0" fillId="0" borderId="0" xfId="0" applyNumberFormat="1"/>
    <xf numFmtId="0" fontId="0" fillId="0" borderId="0" xfId="0" applyNumberFormat="1"/>
    <xf numFmtId="0" fontId="2" fillId="5" borderId="0" xfId="0" applyFont="1" applyFill="1"/>
    <xf numFmtId="0" fontId="7" fillId="0" borderId="0" xfId="0" applyFont="1"/>
    <xf numFmtId="0" fontId="2" fillId="0" borderId="0" xfId="0" applyFont="1" applyAlignment="1"/>
    <xf numFmtId="0" fontId="0" fillId="0" borderId="0" xfId="0" applyAlignment="1">
      <alignment horizontal="center" vertical="center"/>
    </xf>
    <xf numFmtId="0" fontId="8" fillId="0" borderId="0" xfId="0" applyFont="1"/>
    <xf numFmtId="0" fontId="0" fillId="3" borderId="0" xfId="0" applyFill="1"/>
    <xf numFmtId="0" fontId="0" fillId="0" borderId="0" xfId="0" applyAlignment="1">
      <alignment horizontal="left"/>
    </xf>
    <xf numFmtId="0" fontId="3" fillId="0" borderId="0" xfId="0" applyFont="1" applyFill="1" applyAlignment="1"/>
    <xf numFmtId="0" fontId="10" fillId="0" borderId="0" xfId="0" applyFont="1" applyAlignment="1">
      <alignment horizontal="center"/>
    </xf>
    <xf numFmtId="0" fontId="9" fillId="0" borderId="0" xfId="0" applyFont="1"/>
  </cellXfs>
  <cellStyles count="1">
    <cellStyle name="Normal" xfId="0" builtinId="0"/>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436306</xdr:colOff>
      <xdr:row>39</xdr:row>
      <xdr:rowOff>178210</xdr:rowOff>
    </xdr:from>
    <xdr:ext cx="448373" cy="172227"/>
    <xdr:sp macro="" textlink="">
      <xdr:nvSpPr>
        <xdr:cNvPr id="2" name="TextBox 1">
          <a:extLst>
            <a:ext uri="{FF2B5EF4-FFF2-40B4-BE49-F238E27FC236}">
              <a16:creationId xmlns:a16="http://schemas.microsoft.com/office/drawing/2014/main" id="{CE922F63-B5EB-E5A0-129C-67AD5CE854FF}"/>
            </a:ext>
          </a:extLst>
        </xdr:cNvPr>
        <xdr:cNvSpPr txBox="1"/>
      </xdr:nvSpPr>
      <xdr:spPr>
        <a:xfrm>
          <a:off x="4694903" y="7699887"/>
          <a:ext cx="4483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IN" sz="1100"/>
        </a:p>
      </xdr:txBody>
    </xdr:sp>
    <xdr:clientData/>
  </xdr:oneCellAnchor>
  <xdr:oneCellAnchor>
    <xdr:from>
      <xdr:col>4</xdr:col>
      <xdr:colOff>1170172</xdr:colOff>
      <xdr:row>58</xdr:row>
      <xdr:rowOff>180753</xdr:rowOff>
    </xdr:from>
    <xdr:ext cx="65" cy="165366"/>
    <xdr:sp macro="" textlink="">
      <xdr:nvSpPr>
        <xdr:cNvPr id="3" name="TextBox 2">
          <a:extLst>
            <a:ext uri="{FF2B5EF4-FFF2-40B4-BE49-F238E27FC236}">
              <a16:creationId xmlns:a16="http://schemas.microsoft.com/office/drawing/2014/main" id="{A73134B6-8D6C-77E2-4017-8918B06A4682}"/>
            </a:ext>
          </a:extLst>
        </xdr:cNvPr>
        <xdr:cNvSpPr txBox="1"/>
      </xdr:nvSpPr>
      <xdr:spPr>
        <a:xfrm>
          <a:off x="1170172" y="12089218"/>
          <a:ext cx="6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1">
            <a:latin typeface="Cambria Math" panose="02040503050406030204" pitchFamily="18" charset="0"/>
          </a:endParaRPr>
        </a:p>
      </xdr:txBody>
    </xdr:sp>
    <xdr:clientData/>
  </xdr:oneCellAnchor>
  <xdr:oneCellAnchor>
    <xdr:from>
      <xdr:col>0</xdr:col>
      <xdr:colOff>1080977</xdr:colOff>
      <xdr:row>58</xdr:row>
      <xdr:rowOff>74428</xdr:rowOff>
    </xdr:from>
    <xdr:ext cx="1149914" cy="49193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8F860DB-91EF-675E-3967-46AA391069AE}"/>
                </a:ext>
              </a:extLst>
            </xdr:cNvPr>
            <xdr:cNvSpPr txBox="1"/>
          </xdr:nvSpPr>
          <xdr:spPr>
            <a:xfrm>
              <a:off x="1080977" y="11799777"/>
              <a:ext cx="114991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n-IN" sz="1100" i="1">
                        <a:latin typeface="Cambria Math" panose="02040503050406030204" pitchFamily="18" charset="0"/>
                      </a:rPr>
                      <m:t>𝑡</m:t>
                    </m:r>
                    <m:r>
                      <a:rPr lang="en-IN" sz="1100" i="1">
                        <a:latin typeface="Cambria Math" panose="02040503050406030204" pitchFamily="18" charset="0"/>
                      </a:rPr>
                      <m:t>=</m:t>
                    </m:r>
                    <m:f>
                      <m:fPr>
                        <m:ctrlPr>
                          <a:rPr lang="en-IN" sz="1100" i="1">
                            <a:latin typeface="Cambria Math" panose="02040503050406030204" pitchFamily="18" charset="0"/>
                          </a:rPr>
                        </m:ctrlPr>
                      </m:fPr>
                      <m:num>
                        <m:r>
                          <a:rPr lang="en-IN" sz="1100" i="1">
                            <a:latin typeface="Cambria Math" panose="02040503050406030204" pitchFamily="18" charset="0"/>
                          </a:rPr>
                          <m:t>𝑃𝐷</m:t>
                        </m:r>
                      </m:num>
                      <m:den>
                        <m:r>
                          <a:rPr lang="en-IN" sz="1100" i="1">
                            <a:latin typeface="Cambria Math" panose="02040503050406030204" pitchFamily="18" charset="0"/>
                          </a:rPr>
                          <m:t>2</m:t>
                        </m:r>
                        <m:r>
                          <m:rPr>
                            <m:sty m:val="p"/>
                          </m:rPr>
                          <a:rPr lang="en-IN" sz="1100" b="0" i="1">
                            <a:latin typeface="Cambria Math" panose="02040503050406030204" pitchFamily="18" charset="0"/>
                          </a:rPr>
                          <m:t>afe</m:t>
                        </m:r>
                        <m:r>
                          <a:rPr lang="en-IN" sz="1100" i="1">
                            <a:latin typeface="Cambria Math" panose="02040503050406030204" pitchFamily="18" charset="0"/>
                          </a:rPr>
                          <m:t>+</m:t>
                        </m:r>
                        <m:r>
                          <a:rPr lang="en-IN" sz="1100" i="1">
                            <a:latin typeface="Cambria Math" panose="02040503050406030204" pitchFamily="18" charset="0"/>
                          </a:rPr>
                          <m:t>𝑃</m:t>
                        </m:r>
                      </m:den>
                    </m:f>
                  </m:oMath>
                </m:oMathPara>
              </a14:m>
              <a:endParaRPr lang="en-US" sz="1100"/>
            </a:p>
            <a:p>
              <a:endParaRPr lang="en-IN" sz="1100"/>
            </a:p>
          </xdr:txBody>
        </xdr:sp>
      </mc:Choice>
      <mc:Fallback xmlns="">
        <xdr:sp macro="" textlink="">
          <xdr:nvSpPr>
            <xdr:cNvPr id="4" name="TextBox 3">
              <a:extLst>
                <a:ext uri="{FF2B5EF4-FFF2-40B4-BE49-F238E27FC236}">
                  <a16:creationId xmlns:a16="http://schemas.microsoft.com/office/drawing/2014/main" id="{48F860DB-91EF-675E-3967-46AA391069AE}"/>
                </a:ext>
              </a:extLst>
            </xdr:cNvPr>
            <xdr:cNvSpPr txBox="1"/>
          </xdr:nvSpPr>
          <xdr:spPr>
            <a:xfrm>
              <a:off x="1080977" y="11799777"/>
              <a:ext cx="114991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𝑡=𝑃𝐷/(2</a:t>
              </a:r>
              <a:r>
                <a:rPr lang="en-IN" sz="1100" b="0" i="0">
                  <a:latin typeface="Cambria Math" panose="02040503050406030204" pitchFamily="18" charset="0"/>
                </a:rPr>
                <a:t>afe</a:t>
              </a:r>
              <a:r>
                <a:rPr lang="en-IN" sz="1100" i="0">
                  <a:latin typeface="Cambria Math" panose="02040503050406030204" pitchFamily="18" charset="0"/>
                </a:rPr>
                <a:t>+𝑃)</a:t>
              </a:r>
              <a:endParaRPr lang="en-US" sz="1100"/>
            </a:p>
            <a:p>
              <a:endParaRPr lang="en-IN" sz="1100"/>
            </a:p>
          </xdr:txBody>
        </xdr:sp>
      </mc:Fallback>
    </mc:AlternateContent>
    <xdr:clientData/>
  </xdr:oneCellAnchor>
  <xdr:twoCellAnchor editAs="oneCell">
    <xdr:from>
      <xdr:col>4</xdr:col>
      <xdr:colOff>14197</xdr:colOff>
      <xdr:row>81</xdr:row>
      <xdr:rowOff>18671</xdr:rowOff>
    </xdr:from>
    <xdr:to>
      <xdr:col>4</xdr:col>
      <xdr:colOff>2311529</xdr:colOff>
      <xdr:row>87</xdr:row>
      <xdr:rowOff>145877</xdr:rowOff>
    </xdr:to>
    <xdr:pic>
      <xdr:nvPicPr>
        <xdr:cNvPr id="5" name="Picture 4">
          <a:extLst>
            <a:ext uri="{FF2B5EF4-FFF2-40B4-BE49-F238E27FC236}">
              <a16:creationId xmlns:a16="http://schemas.microsoft.com/office/drawing/2014/main" id="{3A92694B-39FF-0182-E7E0-70440E40D0C5}"/>
            </a:ext>
          </a:extLst>
        </xdr:cNvPr>
        <xdr:cNvPicPr>
          <a:picLocks noChangeAspect="1"/>
        </xdr:cNvPicPr>
      </xdr:nvPicPr>
      <xdr:blipFill>
        <a:blip xmlns:r="http://schemas.openxmlformats.org/officeDocument/2006/relationships" r:embed="rId1"/>
        <a:stretch>
          <a:fillRect/>
        </a:stretch>
      </xdr:blipFill>
      <xdr:spPr>
        <a:xfrm>
          <a:off x="5620340" y="16540216"/>
          <a:ext cx="2297332" cy="1408751"/>
        </a:xfrm>
        <a:prstGeom prst="rect">
          <a:avLst/>
        </a:prstGeom>
      </xdr:spPr>
    </xdr:pic>
    <xdr:clientData/>
  </xdr:twoCellAnchor>
  <xdr:oneCellAnchor>
    <xdr:from>
      <xdr:col>0</xdr:col>
      <xdr:colOff>776842</xdr:colOff>
      <xdr:row>81</xdr:row>
      <xdr:rowOff>161309</xdr:rowOff>
    </xdr:from>
    <xdr:ext cx="2033243" cy="18010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A142667-E9C4-0456-8C2A-B69F819FCC8C}"/>
                </a:ext>
              </a:extLst>
            </xdr:cNvPr>
            <xdr:cNvSpPr txBox="1"/>
          </xdr:nvSpPr>
          <xdr:spPr>
            <a:xfrm>
              <a:off x="776842" y="16524517"/>
              <a:ext cx="2033243" cy="180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a:rPr lang="en-IN" sz="1100" i="1">
                            <a:latin typeface="Cambria Math" panose="02040503050406030204" pitchFamily="18" charset="0"/>
                          </a:rPr>
                          <m:t>𝐶</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𝐶</m:t>
                        </m:r>
                      </m:e>
                      <m:sub>
                        <m:r>
                          <a:rPr lang="en-IN" sz="1100" i="1">
                            <a:latin typeface="Cambria Math" panose="02040503050406030204" pitchFamily="18" charset="0"/>
                          </a:rPr>
                          <m:t>𝑑</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𝛾</m:t>
                        </m:r>
                      </m:e>
                      <m:sub>
                        <m:r>
                          <a:rPr lang="en-IN" sz="1100" i="1">
                            <a:latin typeface="Cambria Math" panose="02040503050406030204" pitchFamily="18" charset="0"/>
                          </a:rPr>
                          <m:t>𝑐</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𝐵</m:t>
                        </m:r>
                      </m:e>
                      <m:sub>
                        <m:r>
                          <a:rPr lang="en-IN" sz="1100" i="1">
                            <a:latin typeface="Cambria Math" panose="02040503050406030204" pitchFamily="18" charset="0"/>
                          </a:rPr>
                          <m:t>𝑐</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𝐵</m:t>
                        </m:r>
                      </m:e>
                      <m:sub>
                        <m:r>
                          <a:rPr lang="en-IN" sz="1100" i="1">
                            <a:latin typeface="Cambria Math" panose="02040503050406030204" pitchFamily="18" charset="0"/>
                          </a:rPr>
                          <m:t>𝐷</m:t>
                        </m:r>
                      </m:sub>
                    </m:sSub>
                  </m:oMath>
                </m:oMathPara>
              </a14:m>
              <a:endParaRPr lang="en-US" sz="1100"/>
            </a:p>
            <a:p>
              <a:endParaRPr lang="en-IN" sz="1100"/>
            </a:p>
          </xdr:txBody>
        </xdr:sp>
      </mc:Choice>
      <mc:Fallback xmlns="">
        <xdr:sp macro="" textlink="">
          <xdr:nvSpPr>
            <xdr:cNvPr id="6" name="TextBox 5">
              <a:extLst>
                <a:ext uri="{FF2B5EF4-FFF2-40B4-BE49-F238E27FC236}">
                  <a16:creationId xmlns:a16="http://schemas.microsoft.com/office/drawing/2014/main" id="{FA142667-E9C4-0456-8C2A-B69F819FCC8C}"/>
                </a:ext>
              </a:extLst>
            </xdr:cNvPr>
            <xdr:cNvSpPr txBox="1"/>
          </xdr:nvSpPr>
          <xdr:spPr>
            <a:xfrm>
              <a:off x="776842" y="16524517"/>
              <a:ext cx="2033243" cy="180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IN" sz="1100" i="0">
                  <a:latin typeface="Cambria Math" panose="02040503050406030204" pitchFamily="18" charset="0"/>
                </a:rPr>
                <a:t>𝑊_𝐶=𝐶_𝑑×𝛾_𝑐×𝐵_𝑐×𝐵_𝐷</a:t>
              </a:r>
              <a:endParaRPr lang="en-US" sz="1100"/>
            </a:p>
            <a:p>
              <a:endParaRPr lang="en-IN" sz="1100"/>
            </a:p>
          </xdr:txBody>
        </xdr:sp>
      </mc:Fallback>
    </mc:AlternateContent>
    <xdr:clientData/>
  </xdr:oneCellAnchor>
  <xdr:oneCellAnchor>
    <xdr:from>
      <xdr:col>0</xdr:col>
      <xdr:colOff>0</xdr:colOff>
      <xdr:row>117</xdr:row>
      <xdr:rowOff>56443</xdr:rowOff>
    </xdr:from>
    <xdr:ext cx="2348089" cy="540597"/>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2EBC6466-9D90-7E13-B82E-C6D66F2D73E1}"/>
                </a:ext>
              </a:extLst>
            </xdr:cNvPr>
            <xdr:cNvSpPr txBox="1"/>
          </xdr:nvSpPr>
          <xdr:spPr>
            <a:xfrm>
              <a:off x="0" y="23181732"/>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Δ</m:t>
                    </m:r>
                    <m:r>
                      <m:rPr>
                        <m:sty m:val="p"/>
                      </m:rPr>
                      <a:rPr lang="en-IN" sz="1100" b="0" i="1">
                        <a:latin typeface="Cambria Math" panose="02040503050406030204" pitchFamily="18" charset="0"/>
                      </a:rPr>
                      <m:t>x</m:t>
                    </m:r>
                    <m:r>
                      <a:rPr lang="en-IN" sz="1100" b="0" i="1" baseline="-25000">
                        <a:latin typeface="Cambria Math" panose="02040503050406030204" pitchFamily="18" charset="0"/>
                      </a:rPr>
                      <m:t>1</m:t>
                    </m:r>
                    <m:r>
                      <a:rPr lang="en-IN" sz="1100" i="1">
                        <a:latin typeface="Cambria Math" panose="02040503050406030204" pitchFamily="18" charset="0"/>
                      </a:rPr>
                      <m:t>=</m:t>
                    </m:r>
                    <m:f>
                      <m:fPr>
                        <m:ctrlPr>
                          <a:rPr lang="en-IN" sz="1100" i="1">
                            <a:latin typeface="Cambria Math" panose="02040503050406030204" pitchFamily="18" charset="0"/>
                          </a:rPr>
                        </m:ctrlPr>
                      </m:fPr>
                      <m:num>
                        <m:sSub>
                          <m:sSubPr>
                            <m:ctrlPr>
                              <a:rPr lang="en-IN" sz="1100" i="1">
                                <a:latin typeface="Cambria Math" panose="02040503050406030204" pitchFamily="18" charset="0"/>
                              </a:rPr>
                            </m:ctrlPr>
                          </m:sSubPr>
                          <m:e>
                            <m:r>
                              <a:rPr lang="en-IN" sz="1100" i="1">
                                <a:latin typeface="Cambria Math" panose="02040503050406030204" pitchFamily="18" charset="0"/>
                              </a:rPr>
                              <m:t>𝐷</m:t>
                            </m:r>
                          </m:e>
                          <m:sub>
                            <m:r>
                              <m:rPr>
                                <m:sty m:val="p"/>
                              </m:rPr>
                              <a:rPr lang="en-IN" sz="1100" b="0" i="1">
                                <a:latin typeface="Cambria Math" panose="02040503050406030204" pitchFamily="18" charset="0"/>
                              </a:rPr>
                              <m:t>e</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num>
                      <m:den>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a:rPr lang="en-IN" sz="1100" i="1">
                                <a:latin typeface="Cambria Math" panose="02040503050406030204" pitchFamily="18" charset="0"/>
                              </a:rPr>
                              <m:t>𝑒</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den>
                    </m:f>
                  </m:oMath>
                </m:oMathPara>
              </a14:m>
              <a:endParaRPr lang="en-US" sz="1100"/>
            </a:p>
            <a:p>
              <a:endParaRPr lang="en-IN" sz="1100"/>
            </a:p>
          </xdr:txBody>
        </xdr:sp>
      </mc:Choice>
      <mc:Fallback>
        <xdr:sp macro="" textlink="">
          <xdr:nvSpPr>
            <xdr:cNvPr id="7" name="TextBox 6">
              <a:extLst>
                <a:ext uri="{FF2B5EF4-FFF2-40B4-BE49-F238E27FC236}">
                  <a16:creationId xmlns:a16="http://schemas.microsoft.com/office/drawing/2014/main" id="{2EBC6466-9D90-7E13-B82E-C6D66F2D73E1}"/>
                </a:ext>
              </a:extLst>
            </xdr:cNvPr>
            <xdr:cNvSpPr txBox="1"/>
          </xdr:nvSpPr>
          <xdr:spPr>
            <a:xfrm>
              <a:off x="0" y="23181732"/>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Δ</a:t>
              </a:r>
              <a:r>
                <a:rPr lang="en-IN" sz="1100" b="0" i="0">
                  <a:latin typeface="Cambria Math" panose="02040503050406030204" pitchFamily="18" charset="0"/>
                </a:rPr>
                <a:t>x</a:t>
              </a:r>
              <a:r>
                <a:rPr lang="en-IN" sz="1100" b="0" i="0" baseline="-25000">
                  <a:latin typeface="Cambria Math" panose="02040503050406030204" pitchFamily="18" charset="0"/>
                </a:rPr>
                <a:t>1</a:t>
              </a:r>
              <a:r>
                <a:rPr lang="en-IN" sz="1100" i="0">
                  <a:latin typeface="Cambria Math" panose="02040503050406030204" pitchFamily="18" charset="0"/>
                </a:rPr>
                <a:t>=(𝐷_</a:t>
              </a:r>
              <a:r>
                <a:rPr lang="en-IN" sz="1100" b="0" i="0">
                  <a:latin typeface="Cambria Math" panose="02040503050406030204" pitchFamily="18" charset="0"/>
                </a:rPr>
                <a:t>e </a:t>
              </a:r>
              <a:r>
                <a:rPr lang="en-IN" sz="1100" i="0">
                  <a:latin typeface="Cambria Math" panose="02040503050406030204" pitchFamily="18" charset="0"/>
                </a:rPr>
                <a:t>𝐾_𝜃 𝑊_</a:t>
              </a:r>
              <a:r>
                <a:rPr lang="en-IN" sz="1100" b="0" i="0">
                  <a:latin typeface="Cambria Math" panose="02040503050406030204" pitchFamily="18" charset="0"/>
                </a:rPr>
                <a:t>o </a:t>
              </a:r>
              <a:r>
                <a:rPr lang="en-IN" sz="1100" i="0">
                  <a:latin typeface="Cambria Math" panose="02040503050406030204" pitchFamily="18" charset="0"/>
                </a:rPr>
                <a:t>𝑅^3)/(𝐸𝐼+0.061𝑒′𝑅^3−2𝑃_𝑒 𝐾_𝜃 𝑅^3 )</a:t>
              </a:r>
              <a:endParaRPr lang="en-US" sz="1100"/>
            </a:p>
            <a:p>
              <a:endParaRPr lang="en-IN" sz="1100"/>
            </a:p>
          </xdr:txBody>
        </xdr:sp>
      </mc:Fallback>
    </mc:AlternateContent>
    <xdr:clientData/>
  </xdr:oneCellAnchor>
  <xdr:oneCellAnchor>
    <xdr:from>
      <xdr:col>0</xdr:col>
      <xdr:colOff>0</xdr:colOff>
      <xdr:row>124</xdr:row>
      <xdr:rowOff>0</xdr:rowOff>
    </xdr:from>
    <xdr:ext cx="2348089" cy="540597"/>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A22AAE08-B5BA-40AE-91A8-F743B49BFA60}"/>
                </a:ext>
              </a:extLst>
            </xdr:cNvPr>
            <xdr:cNvSpPr txBox="1"/>
          </xdr:nvSpPr>
          <xdr:spPr>
            <a:xfrm>
              <a:off x="0" y="24779377"/>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0">
                        <a:latin typeface="Cambria Math" panose="02040503050406030204" pitchFamily="18" charset="0"/>
                      </a:rPr>
                      <m:t>Δ</m:t>
                    </m:r>
                    <m:r>
                      <m:rPr>
                        <m:sty m:val="p"/>
                      </m:rPr>
                      <a:rPr lang="en-IN" sz="1100" b="0" i="0">
                        <a:latin typeface="Cambria Math" panose="02040503050406030204" pitchFamily="18" charset="0"/>
                      </a:rPr>
                      <m:t>x</m:t>
                    </m:r>
                    <m:r>
                      <m:rPr>
                        <m:nor/>
                      </m:rPr>
                      <a:rPr lang="en-US" sz="1100" b="0" i="0" baseline="-25000">
                        <a:latin typeface="Cambria Math" panose="02040503050406030204" pitchFamily="18" charset="0"/>
                      </a:rPr>
                      <m:t>2</m:t>
                    </m:r>
                    <m:r>
                      <a:rPr lang="en-IN" sz="1100" i="0">
                        <a:latin typeface="Cambria Math" panose="02040503050406030204" pitchFamily="18" charset="0"/>
                      </a:rPr>
                      <m:t>=</m:t>
                    </m:r>
                    <m:f>
                      <m:fPr>
                        <m:ctrlPr>
                          <a:rPr lang="en-IN" sz="1100" i="0">
                            <a:latin typeface="Cambria Math" panose="02040503050406030204" pitchFamily="18" charset="0"/>
                          </a:rPr>
                        </m:ctrlPr>
                      </m:fPr>
                      <m:num>
                        <m:sSub>
                          <m:sSubPr>
                            <m:ctrlPr>
                              <a:rPr lang="en-IN" sz="1100" i="0">
                                <a:latin typeface="Cambria Math" panose="02040503050406030204" pitchFamily="18" charset="0"/>
                              </a:rPr>
                            </m:ctrlPr>
                          </m:sSubPr>
                          <m:e>
                            <m:r>
                              <a:rPr lang="en-IN" sz="1100" i="0">
                                <a:latin typeface="Cambria Math" panose="02040503050406030204" pitchFamily="18" charset="0"/>
                              </a:rPr>
                              <m:t>𝐷</m:t>
                            </m:r>
                          </m:e>
                          <m:sub>
                            <m:r>
                              <a:rPr lang="en-IN" sz="1100" i="0">
                                <a:latin typeface="Cambria Math" panose="02040503050406030204" pitchFamily="18" charset="0"/>
                              </a:rPr>
                              <m:t>𝑒</m:t>
                            </m:r>
                          </m:sub>
                        </m:sSub>
                        <m:sSub>
                          <m:sSubPr>
                            <m:ctrlPr>
                              <a:rPr lang="en-IN" sz="1100" i="0">
                                <a:latin typeface="Cambria Math" panose="02040503050406030204" pitchFamily="18" charset="0"/>
                              </a:rPr>
                            </m:ctrlPr>
                          </m:sSubPr>
                          <m:e>
                            <m:r>
                              <a:rPr lang="en-IN" sz="1100" i="0">
                                <a:latin typeface="Cambria Math" panose="02040503050406030204" pitchFamily="18" charset="0"/>
                              </a:rPr>
                              <m:t>𝐾</m:t>
                            </m:r>
                          </m:e>
                          <m:sub>
                            <m:r>
                              <a:rPr lang="en-IN" sz="1100" i="0">
                                <a:latin typeface="Cambria Math" panose="02040503050406030204" pitchFamily="18" charset="0"/>
                              </a:rPr>
                              <m:t>𝜃</m:t>
                            </m:r>
                          </m:sub>
                        </m:sSub>
                        <m:sSub>
                          <m:sSubPr>
                            <m:ctrlPr>
                              <a:rPr lang="en-IN" sz="1100" i="0">
                                <a:latin typeface="Cambria Math" panose="02040503050406030204" pitchFamily="18" charset="0"/>
                              </a:rPr>
                            </m:ctrlPr>
                          </m:sSubPr>
                          <m:e>
                            <m:r>
                              <a:rPr lang="en-IN" sz="1100" i="0">
                                <a:latin typeface="Cambria Math" panose="02040503050406030204" pitchFamily="18" charset="0"/>
                              </a:rPr>
                              <m:t>𝑊</m:t>
                            </m:r>
                          </m:e>
                          <m:sub>
                            <m:r>
                              <a:rPr lang="en-IN" sz="1100" i="0">
                                <a:latin typeface="Cambria Math" panose="02040503050406030204" pitchFamily="18" charset="0"/>
                              </a:rPr>
                              <m:t>𝑜</m:t>
                            </m:r>
                          </m:sub>
                        </m:sSub>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num>
                      <m:den>
                        <m:r>
                          <a:rPr lang="en-IN" sz="1100" i="0">
                            <a:latin typeface="Cambria Math" panose="02040503050406030204" pitchFamily="18" charset="0"/>
                          </a:rPr>
                          <m:t>𝐸𝐼</m:t>
                        </m:r>
                        <m:r>
                          <a:rPr lang="en-IN" sz="1100" i="0">
                            <a:latin typeface="Cambria Math" panose="02040503050406030204" pitchFamily="18" charset="0"/>
                          </a:rPr>
                          <m:t>+0.061</m:t>
                        </m:r>
                        <m:sSup>
                          <m:sSupPr>
                            <m:ctrlPr>
                              <a:rPr lang="en-IN" sz="1100" i="0">
                                <a:latin typeface="Cambria Math" panose="02040503050406030204" pitchFamily="18" charset="0"/>
                              </a:rPr>
                            </m:ctrlPr>
                          </m:sSupPr>
                          <m:e>
                            <m:r>
                              <a:rPr lang="en-IN" sz="1100" i="0">
                                <a:latin typeface="Cambria Math" panose="02040503050406030204" pitchFamily="18" charset="0"/>
                              </a:rPr>
                              <m:t>𝑒</m:t>
                            </m:r>
                          </m:e>
                          <m:sup>
                            <m:r>
                              <a:rPr lang="en-IN" sz="1100" i="0">
                                <a:latin typeface="Cambria Math" panose="02040503050406030204" pitchFamily="18" charset="0"/>
                              </a:rPr>
                              <m:t>′</m:t>
                            </m:r>
                          </m:sup>
                        </m:sSup>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r>
                          <a:rPr lang="en-IN" sz="1100" b="0" i="0">
                            <a:latin typeface="Cambria Math" panose="02040503050406030204" pitchFamily="18" charset="0"/>
                          </a:rPr>
                          <m:t>+</m:t>
                        </m:r>
                        <m:r>
                          <a:rPr lang="en-IN" sz="1100" i="0">
                            <a:latin typeface="Cambria Math" panose="02040503050406030204" pitchFamily="18" charset="0"/>
                          </a:rPr>
                          <m:t>2</m:t>
                        </m:r>
                        <m:sSub>
                          <m:sSubPr>
                            <m:ctrlPr>
                              <a:rPr lang="en-IN" sz="1100" i="0">
                                <a:latin typeface="Cambria Math" panose="02040503050406030204" pitchFamily="18" charset="0"/>
                              </a:rPr>
                            </m:ctrlPr>
                          </m:sSubPr>
                          <m:e>
                            <m:r>
                              <a:rPr lang="en-IN" sz="1100" i="0">
                                <a:latin typeface="Cambria Math" panose="02040503050406030204" pitchFamily="18" charset="0"/>
                              </a:rPr>
                              <m:t>𝑃</m:t>
                            </m:r>
                          </m:e>
                          <m:sub>
                            <m:r>
                              <a:rPr lang="en-IN" sz="1100" i="0">
                                <a:latin typeface="Cambria Math" panose="02040503050406030204" pitchFamily="18" charset="0"/>
                              </a:rPr>
                              <m:t>𝑖</m:t>
                            </m:r>
                          </m:sub>
                        </m:sSub>
                        <m:sSub>
                          <m:sSubPr>
                            <m:ctrlPr>
                              <a:rPr lang="en-IN" sz="1100" i="0">
                                <a:latin typeface="Cambria Math" panose="02040503050406030204" pitchFamily="18" charset="0"/>
                              </a:rPr>
                            </m:ctrlPr>
                          </m:sSubPr>
                          <m:e>
                            <m:r>
                              <a:rPr lang="en-IN" sz="1100" i="0">
                                <a:latin typeface="Cambria Math" panose="02040503050406030204" pitchFamily="18" charset="0"/>
                              </a:rPr>
                              <m:t>𝐾</m:t>
                            </m:r>
                          </m:e>
                          <m:sub>
                            <m:r>
                              <a:rPr lang="en-IN" sz="1100" i="0">
                                <a:latin typeface="Cambria Math" panose="02040503050406030204" pitchFamily="18" charset="0"/>
                              </a:rPr>
                              <m:t>𝜃</m:t>
                            </m:r>
                          </m:sub>
                        </m:sSub>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den>
                    </m:f>
                  </m:oMath>
                </m:oMathPara>
              </a14:m>
              <a:endParaRPr lang="en-US" sz="1100"/>
            </a:p>
            <a:p>
              <a:endParaRPr lang="en-IN" sz="1100"/>
            </a:p>
          </xdr:txBody>
        </xdr:sp>
      </mc:Choice>
      <mc:Fallback>
        <xdr:sp macro="" textlink="">
          <xdr:nvSpPr>
            <xdr:cNvPr id="8" name="TextBox 7">
              <a:extLst>
                <a:ext uri="{FF2B5EF4-FFF2-40B4-BE49-F238E27FC236}">
                  <a16:creationId xmlns:a16="http://schemas.microsoft.com/office/drawing/2014/main" id="{A22AAE08-B5BA-40AE-91A8-F743B49BFA60}"/>
                </a:ext>
              </a:extLst>
            </xdr:cNvPr>
            <xdr:cNvSpPr txBox="1"/>
          </xdr:nvSpPr>
          <xdr:spPr>
            <a:xfrm>
              <a:off x="0" y="24779377"/>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Δ</a:t>
              </a:r>
              <a:r>
                <a:rPr lang="en-IN" sz="1100" b="0" i="0">
                  <a:latin typeface="Cambria Math" panose="02040503050406030204" pitchFamily="18" charset="0"/>
                </a:rPr>
                <a:t>x</a:t>
              </a:r>
              <a:r>
                <a:rPr lang="en-US" sz="1100" b="0" i="0" baseline="-25000">
                  <a:latin typeface="Cambria Math" panose="02040503050406030204" pitchFamily="18" charset="0"/>
                </a:rPr>
                <a:t>"2</a:t>
              </a:r>
              <a:r>
                <a:rPr lang="en-IN" sz="1100" b="0" i="0" baseline="-25000">
                  <a:latin typeface="Cambria Math" panose="02040503050406030204" pitchFamily="18" charset="0"/>
                </a:rPr>
                <a:t>"</a:t>
              </a:r>
              <a:r>
                <a:rPr lang="en-IN" sz="1100" i="0">
                  <a:latin typeface="Cambria Math" panose="02040503050406030204" pitchFamily="18" charset="0"/>
                </a:rPr>
                <a:t>=(𝐷_𝑒 𝐾_𝜃 𝑊_𝑜 𝑅^3)/(𝐸𝐼+0.061𝑒^′ 𝑅^3</a:t>
              </a:r>
              <a:r>
                <a:rPr lang="en-IN" sz="1100" b="0" i="0">
                  <a:latin typeface="Cambria Math" panose="02040503050406030204" pitchFamily="18" charset="0"/>
                </a:rPr>
                <a:t>+</a:t>
              </a:r>
              <a:r>
                <a:rPr lang="en-IN" sz="1100" i="0">
                  <a:latin typeface="Cambria Math" panose="02040503050406030204" pitchFamily="18" charset="0"/>
                </a:rPr>
                <a:t>2𝑃_𝑖 𝐾_𝜃 𝑅^3 )</a:t>
              </a:r>
              <a:endParaRPr lang="en-US" sz="1100"/>
            </a:p>
            <a:p>
              <a:endParaRPr lang="en-IN" sz="1100"/>
            </a:p>
          </xdr:txBody>
        </xdr:sp>
      </mc:Fallback>
    </mc:AlternateContent>
    <xdr:clientData/>
  </xdr:oneCellAnchor>
  <xdr:oneCellAnchor>
    <xdr:from>
      <xdr:col>0</xdr:col>
      <xdr:colOff>257963</xdr:colOff>
      <xdr:row>131</xdr:row>
      <xdr:rowOff>94282</xdr:rowOff>
    </xdr:from>
    <xdr:ext cx="2631057" cy="486415"/>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BBDFC133-6907-41AC-8908-2C378D3D00AB}"/>
                </a:ext>
              </a:extLst>
            </xdr:cNvPr>
            <xdr:cNvSpPr txBox="1"/>
          </xdr:nvSpPr>
          <xdr:spPr>
            <a:xfrm>
              <a:off x="257963" y="26691013"/>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M</m:t>
                    </m:r>
                    <m:r>
                      <a:rPr lang="en-IN" sz="1100" i="1">
                        <a:latin typeface="Cambria Math" panose="02040503050406030204" pitchFamily="18" charset="0"/>
                      </a:rPr>
                      <m:t>=</m:t>
                    </m:r>
                    <m:f>
                      <m:fPr>
                        <m:ctrlPr>
                          <a:rPr lang="en-IN" sz="1100" b="0" i="1">
                            <a:latin typeface="Cambria Math" panose="02040503050406030204" pitchFamily="18" charset="0"/>
                          </a:rPr>
                        </m:ctrlPr>
                      </m:fPr>
                      <m:num>
                        <m:r>
                          <m:rPr>
                            <m:sty m:val="p"/>
                          </m:rPr>
                          <a:rPr lang="en-IN" sz="1100" b="0" i="1">
                            <a:latin typeface="Cambria Math" panose="02040503050406030204" pitchFamily="18" charset="0"/>
                          </a:rPr>
                          <m:t>K</m:t>
                        </m:r>
                        <m:r>
                          <m:rPr>
                            <m:sty m:val="p"/>
                          </m:rPr>
                          <a:rPr lang="en-IN" sz="1100" b="0" i="1" baseline="-25000">
                            <a:latin typeface="Cambria Math" panose="02040503050406030204" pitchFamily="18" charset="0"/>
                          </a:rPr>
                          <m:t>b</m:t>
                        </m:r>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r>
                          <m:rPr>
                            <m:sty m:val="p"/>
                          </m:rPr>
                          <a:rPr lang="en-IN" sz="1100" b="0" i="1">
                            <a:latin typeface="Cambria Math" panose="02040503050406030204" pitchFamily="18" charset="0"/>
                          </a:rPr>
                          <m:t>REI</m:t>
                        </m:r>
                      </m:num>
                      <m:den>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a:rPr lang="en-IN" sz="1100" i="1">
                                <a:latin typeface="Cambria Math" panose="02040503050406030204" pitchFamily="18" charset="0"/>
                              </a:rPr>
                              <m:t>𝑒</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den>
                    </m:f>
                  </m:oMath>
                </m:oMathPara>
              </a14:m>
              <a:endParaRPr lang="en-US" sz="900"/>
            </a:p>
            <a:p>
              <a:endParaRPr lang="en-IN" sz="900"/>
            </a:p>
          </xdr:txBody>
        </xdr:sp>
      </mc:Choice>
      <mc:Fallback>
        <xdr:sp macro="" textlink="">
          <xdr:nvSpPr>
            <xdr:cNvPr id="9" name="TextBox 8">
              <a:extLst>
                <a:ext uri="{FF2B5EF4-FFF2-40B4-BE49-F238E27FC236}">
                  <a16:creationId xmlns:a16="http://schemas.microsoft.com/office/drawing/2014/main" id="{BBDFC133-6907-41AC-8908-2C378D3D00AB}"/>
                </a:ext>
              </a:extLst>
            </xdr:cNvPr>
            <xdr:cNvSpPr txBox="1"/>
          </xdr:nvSpPr>
          <xdr:spPr>
            <a:xfrm>
              <a:off x="257963" y="26691013"/>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M=(</a:t>
              </a:r>
              <a:r>
                <a:rPr lang="en-IN" sz="1100" b="0" i="0">
                  <a:latin typeface="Cambria Math" panose="02040503050406030204" pitchFamily="18" charset="0"/>
                </a:rPr>
                <a:t>K</a:t>
              </a:r>
              <a:r>
                <a:rPr lang="en-IN" sz="1100" b="0" i="0" baseline="-25000">
                  <a:latin typeface="Cambria Math" panose="02040503050406030204" pitchFamily="18" charset="0"/>
                </a:rPr>
                <a:t>b</a:t>
              </a:r>
              <a:r>
                <a:rPr lang="en-IN" sz="1100" i="0">
                  <a:latin typeface="Cambria Math" panose="02040503050406030204" pitchFamily="18" charset="0"/>
                </a:rPr>
                <a:t>𝑊_</a:t>
              </a:r>
              <a:r>
                <a:rPr lang="en-IN" sz="1100" b="0" i="0">
                  <a:latin typeface="Cambria Math" panose="02040503050406030204" pitchFamily="18" charset="0"/>
                </a:rPr>
                <a:t>o REI)/(</a:t>
              </a:r>
              <a:r>
                <a:rPr lang="en-IN" sz="1100" i="0">
                  <a:latin typeface="Cambria Math" panose="02040503050406030204" pitchFamily="18" charset="0"/>
                </a:rPr>
                <a:t>𝐸𝐼+0.061𝑒′𝑅^3−2𝑃_𝑒 𝐾_𝜃 𝑅^3 )</a:t>
              </a:r>
              <a:endParaRPr lang="en-US" sz="900"/>
            </a:p>
            <a:p>
              <a:endParaRPr lang="en-IN" sz="900"/>
            </a:p>
          </xdr:txBody>
        </xdr:sp>
      </mc:Fallback>
    </mc:AlternateContent>
    <xdr:clientData/>
  </xdr:oneCellAnchor>
  <xdr:oneCellAnchor>
    <xdr:from>
      <xdr:col>0</xdr:col>
      <xdr:colOff>534865</xdr:colOff>
      <xdr:row>141</xdr:row>
      <xdr:rowOff>58615</xdr:rowOff>
    </xdr:from>
    <xdr:ext cx="2631057" cy="486415"/>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5087123C-CE45-485E-ABAC-9DCFC2E44B49}"/>
                </a:ext>
              </a:extLst>
            </xdr:cNvPr>
            <xdr:cNvSpPr txBox="1"/>
          </xdr:nvSpPr>
          <xdr:spPr>
            <a:xfrm>
              <a:off x="534865" y="28956000"/>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f</m:t>
                    </m:r>
                    <m:r>
                      <a:rPr lang="en-IN" sz="1100" i="1">
                        <a:latin typeface="Cambria Math" panose="02040503050406030204" pitchFamily="18" charset="0"/>
                      </a:rPr>
                      <m:t>=</m:t>
                    </m:r>
                    <m:f>
                      <m:fPr>
                        <m:ctrlPr>
                          <a:rPr lang="en-IN" sz="1100" b="0" i="1">
                            <a:latin typeface="Cambria Math" panose="02040503050406030204" pitchFamily="18" charset="0"/>
                          </a:rPr>
                        </m:ctrlPr>
                      </m:fPr>
                      <m:num>
                        <m:r>
                          <m:rPr>
                            <m:sty m:val="p"/>
                          </m:rPr>
                          <a:rPr lang="en-IN" sz="1100" b="0" i="1">
                            <a:latin typeface="Cambria Math" panose="02040503050406030204" pitchFamily="18" charset="0"/>
                          </a:rPr>
                          <m:t>K</m:t>
                        </m:r>
                        <m:r>
                          <m:rPr>
                            <m:sty m:val="p"/>
                          </m:rPr>
                          <a:rPr lang="en-IN" sz="1100" b="0" i="1" baseline="-25000">
                            <a:latin typeface="Cambria Math" panose="02040503050406030204" pitchFamily="18" charset="0"/>
                          </a:rPr>
                          <m:t>b</m:t>
                        </m:r>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r>
                          <m:rPr>
                            <m:sty m:val="p"/>
                          </m:rPr>
                          <a:rPr lang="en-IN" sz="1100" b="0" i="1">
                            <a:latin typeface="Cambria Math" panose="02040503050406030204" pitchFamily="18" charset="0"/>
                          </a:rPr>
                          <m:t>REt</m:t>
                        </m:r>
                      </m:num>
                      <m:den>
                        <m:r>
                          <a:rPr lang="en-IN" sz="1100" b="0" i="1">
                            <a:latin typeface="Cambria Math" panose="02040503050406030204" pitchFamily="18" charset="0"/>
                          </a:rPr>
                          <m:t>2(</m:t>
                        </m:r>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b="0" i="1">
                            <a:latin typeface="Cambria Math" panose="02040503050406030204" pitchFamily="18" charset="0"/>
                          </a:rPr>
                          <m:t>+</m:t>
                        </m:r>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m:rPr>
                                <m:sty m:val="p"/>
                              </m:rPr>
                              <a:rPr lang="en-IN" sz="1100" b="0" i="1">
                                <a:latin typeface="Cambria Math" panose="02040503050406030204" pitchFamily="18" charset="0"/>
                              </a:rPr>
                              <m:t>i</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b="0" i="1">
                            <a:latin typeface="Cambria Math" panose="02040503050406030204" pitchFamily="18" charset="0"/>
                          </a:rPr>
                          <m:t>)</m:t>
                        </m:r>
                      </m:den>
                    </m:f>
                  </m:oMath>
                </m:oMathPara>
              </a14:m>
              <a:endParaRPr lang="en-US" sz="900"/>
            </a:p>
            <a:p>
              <a:endParaRPr lang="en-IN" sz="900"/>
            </a:p>
          </xdr:txBody>
        </xdr:sp>
      </mc:Choice>
      <mc:Fallback>
        <xdr:sp macro="" textlink="">
          <xdr:nvSpPr>
            <xdr:cNvPr id="10" name="TextBox 9">
              <a:extLst>
                <a:ext uri="{FF2B5EF4-FFF2-40B4-BE49-F238E27FC236}">
                  <a16:creationId xmlns:a16="http://schemas.microsoft.com/office/drawing/2014/main" id="{5087123C-CE45-485E-ABAC-9DCFC2E44B49}"/>
                </a:ext>
              </a:extLst>
            </xdr:cNvPr>
            <xdr:cNvSpPr txBox="1"/>
          </xdr:nvSpPr>
          <xdr:spPr>
            <a:xfrm>
              <a:off x="534865" y="28956000"/>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f=(</a:t>
              </a:r>
              <a:r>
                <a:rPr lang="en-IN" sz="1100" b="0" i="0">
                  <a:latin typeface="Cambria Math" panose="02040503050406030204" pitchFamily="18" charset="0"/>
                </a:rPr>
                <a:t>K</a:t>
              </a:r>
              <a:r>
                <a:rPr lang="en-IN" sz="1100" b="0" i="0" baseline="-25000">
                  <a:latin typeface="Cambria Math" panose="02040503050406030204" pitchFamily="18" charset="0"/>
                </a:rPr>
                <a:t>b</a:t>
              </a:r>
              <a:r>
                <a:rPr lang="en-IN" sz="1100" i="0">
                  <a:latin typeface="Cambria Math" panose="02040503050406030204" pitchFamily="18" charset="0"/>
                </a:rPr>
                <a:t>𝑊_</a:t>
              </a:r>
              <a:r>
                <a:rPr lang="en-IN" sz="1100" b="0" i="0">
                  <a:latin typeface="Cambria Math" panose="02040503050406030204" pitchFamily="18" charset="0"/>
                </a:rPr>
                <a:t>o REt)/(2(</a:t>
              </a:r>
              <a:r>
                <a:rPr lang="en-IN" sz="1100" i="0">
                  <a:latin typeface="Cambria Math" panose="02040503050406030204" pitchFamily="18" charset="0"/>
                </a:rPr>
                <a:t>𝐸𝐼+0.061𝑒′𝑅^3</a:t>
              </a:r>
              <a:r>
                <a:rPr lang="en-IN" sz="1100" b="0" i="0">
                  <a:latin typeface="Cambria Math" panose="02040503050406030204" pitchFamily="18" charset="0"/>
                </a:rPr>
                <a:t>+</a:t>
              </a:r>
              <a:r>
                <a:rPr lang="en-IN" sz="1100" i="0">
                  <a:latin typeface="Cambria Math" panose="02040503050406030204" pitchFamily="18" charset="0"/>
                </a:rPr>
                <a:t>2𝑃_</a:t>
              </a:r>
              <a:r>
                <a:rPr lang="en-IN" sz="1100" b="0" i="0">
                  <a:latin typeface="Cambria Math" panose="02040503050406030204" pitchFamily="18" charset="0"/>
                </a:rPr>
                <a:t>i </a:t>
              </a:r>
              <a:r>
                <a:rPr lang="en-IN" sz="1100" i="0">
                  <a:latin typeface="Cambria Math" panose="02040503050406030204" pitchFamily="18" charset="0"/>
                </a:rPr>
                <a:t>𝐾_𝜃 𝑅^3</a:t>
              </a:r>
              <a:r>
                <a:rPr lang="en-IN" sz="1100" b="0" i="0">
                  <a:latin typeface="Cambria Math" panose="02040503050406030204" pitchFamily="18" charset="0"/>
                </a:rPr>
                <a:t>))</a:t>
              </a:r>
              <a:endParaRPr lang="en-US" sz="900"/>
            </a:p>
            <a:p>
              <a:endParaRPr lang="en-IN" sz="9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436306</xdr:colOff>
      <xdr:row>48</xdr:row>
      <xdr:rowOff>178210</xdr:rowOff>
    </xdr:from>
    <xdr:ext cx="448373" cy="172227"/>
    <xdr:sp macro="" textlink="">
      <xdr:nvSpPr>
        <xdr:cNvPr id="2" name="TextBox 1">
          <a:extLst>
            <a:ext uri="{FF2B5EF4-FFF2-40B4-BE49-F238E27FC236}">
              <a16:creationId xmlns:a16="http://schemas.microsoft.com/office/drawing/2014/main" id="{D2131782-AD8F-4810-8304-0B638E1BAC02}"/>
            </a:ext>
          </a:extLst>
        </xdr:cNvPr>
        <xdr:cNvSpPr txBox="1"/>
      </xdr:nvSpPr>
      <xdr:spPr>
        <a:xfrm>
          <a:off x="4886386" y="7691530"/>
          <a:ext cx="4483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en-IN" sz="1100"/>
        </a:p>
      </xdr:txBody>
    </xdr:sp>
    <xdr:clientData/>
  </xdr:oneCellAnchor>
  <xdr:oneCellAnchor>
    <xdr:from>
      <xdr:col>4</xdr:col>
      <xdr:colOff>0</xdr:colOff>
      <xdr:row>67</xdr:row>
      <xdr:rowOff>180753</xdr:rowOff>
    </xdr:from>
    <xdr:ext cx="65" cy="165366"/>
    <xdr:sp macro="" textlink="">
      <xdr:nvSpPr>
        <xdr:cNvPr id="3" name="TextBox 2">
          <a:extLst>
            <a:ext uri="{FF2B5EF4-FFF2-40B4-BE49-F238E27FC236}">
              <a16:creationId xmlns:a16="http://schemas.microsoft.com/office/drawing/2014/main" id="{3ADD7487-96D5-43C0-A908-411D4282D499}"/>
            </a:ext>
          </a:extLst>
        </xdr:cNvPr>
        <xdr:cNvSpPr txBox="1"/>
      </xdr:nvSpPr>
      <xdr:spPr>
        <a:xfrm>
          <a:off x="6770872" y="11877453"/>
          <a:ext cx="6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i="1">
            <a:latin typeface="Cambria Math" panose="02040503050406030204" pitchFamily="18" charset="0"/>
          </a:endParaRPr>
        </a:p>
      </xdr:txBody>
    </xdr:sp>
    <xdr:clientData/>
  </xdr:oneCellAnchor>
  <xdr:oneCellAnchor>
    <xdr:from>
      <xdr:col>0</xdr:col>
      <xdr:colOff>1080977</xdr:colOff>
      <xdr:row>67</xdr:row>
      <xdr:rowOff>74428</xdr:rowOff>
    </xdr:from>
    <xdr:ext cx="1149914" cy="49193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2D05D818-C7F8-4127-BF78-AE29F413E48E}"/>
                </a:ext>
              </a:extLst>
            </xdr:cNvPr>
            <xdr:cNvSpPr txBox="1"/>
          </xdr:nvSpPr>
          <xdr:spPr>
            <a:xfrm>
              <a:off x="1080977" y="11771128"/>
              <a:ext cx="114991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n-IN" sz="1100" i="1">
                        <a:latin typeface="Cambria Math" panose="02040503050406030204" pitchFamily="18" charset="0"/>
                      </a:rPr>
                      <m:t>𝑡</m:t>
                    </m:r>
                    <m:r>
                      <a:rPr lang="en-IN" sz="1100" i="1">
                        <a:latin typeface="Cambria Math" panose="02040503050406030204" pitchFamily="18" charset="0"/>
                      </a:rPr>
                      <m:t>=</m:t>
                    </m:r>
                    <m:f>
                      <m:fPr>
                        <m:ctrlPr>
                          <a:rPr lang="en-IN" sz="1100" i="1">
                            <a:latin typeface="Cambria Math" panose="02040503050406030204" pitchFamily="18" charset="0"/>
                          </a:rPr>
                        </m:ctrlPr>
                      </m:fPr>
                      <m:num>
                        <m:r>
                          <a:rPr lang="en-IN" sz="1100" i="1">
                            <a:latin typeface="Cambria Math" panose="02040503050406030204" pitchFamily="18" charset="0"/>
                          </a:rPr>
                          <m:t>𝑃𝐷</m:t>
                        </m:r>
                      </m:num>
                      <m:den>
                        <m:r>
                          <a:rPr lang="en-IN" sz="1100" i="1">
                            <a:latin typeface="Cambria Math" panose="02040503050406030204" pitchFamily="18" charset="0"/>
                          </a:rPr>
                          <m:t>2</m:t>
                        </m:r>
                        <m:r>
                          <m:rPr>
                            <m:sty m:val="p"/>
                          </m:rPr>
                          <a:rPr lang="en-IN" sz="1100" b="0" i="1">
                            <a:latin typeface="Cambria Math" panose="02040503050406030204" pitchFamily="18" charset="0"/>
                          </a:rPr>
                          <m:t>afe</m:t>
                        </m:r>
                        <m:r>
                          <a:rPr lang="en-IN" sz="1100" i="1">
                            <a:latin typeface="Cambria Math" panose="02040503050406030204" pitchFamily="18" charset="0"/>
                          </a:rPr>
                          <m:t>+</m:t>
                        </m:r>
                        <m:r>
                          <a:rPr lang="en-IN" sz="1100" i="1">
                            <a:latin typeface="Cambria Math" panose="02040503050406030204" pitchFamily="18" charset="0"/>
                          </a:rPr>
                          <m:t>𝑃</m:t>
                        </m:r>
                      </m:den>
                    </m:f>
                  </m:oMath>
                </m:oMathPara>
              </a14:m>
              <a:endParaRPr lang="en-US" sz="1100"/>
            </a:p>
            <a:p>
              <a:endParaRPr lang="en-IN" sz="1100"/>
            </a:p>
          </xdr:txBody>
        </xdr:sp>
      </mc:Choice>
      <mc:Fallback>
        <xdr:sp macro="" textlink="">
          <xdr:nvSpPr>
            <xdr:cNvPr id="4" name="TextBox 3">
              <a:extLst>
                <a:ext uri="{FF2B5EF4-FFF2-40B4-BE49-F238E27FC236}">
                  <a16:creationId xmlns:a16="http://schemas.microsoft.com/office/drawing/2014/main" id="{2D05D818-C7F8-4127-BF78-AE29F413E48E}"/>
                </a:ext>
              </a:extLst>
            </xdr:cNvPr>
            <xdr:cNvSpPr txBox="1"/>
          </xdr:nvSpPr>
          <xdr:spPr>
            <a:xfrm>
              <a:off x="1080977" y="11771128"/>
              <a:ext cx="1149914" cy="491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IN" sz="1100" i="0">
                  <a:latin typeface="Cambria Math" panose="02040503050406030204" pitchFamily="18" charset="0"/>
                </a:rPr>
                <a:t>𝑡=𝑃𝐷/(2</a:t>
              </a:r>
              <a:r>
                <a:rPr lang="en-IN" sz="1100" b="0" i="0">
                  <a:latin typeface="Cambria Math" panose="02040503050406030204" pitchFamily="18" charset="0"/>
                </a:rPr>
                <a:t>afe</a:t>
              </a:r>
              <a:r>
                <a:rPr lang="en-IN" sz="1100" i="0">
                  <a:latin typeface="Cambria Math" panose="02040503050406030204" pitchFamily="18" charset="0"/>
                </a:rPr>
                <a:t>+𝑃)</a:t>
              </a:r>
              <a:endParaRPr lang="en-US" sz="1100"/>
            </a:p>
            <a:p>
              <a:endParaRPr lang="en-IN" sz="1100"/>
            </a:p>
          </xdr:txBody>
        </xdr:sp>
      </mc:Fallback>
    </mc:AlternateContent>
    <xdr:clientData/>
  </xdr:oneCellAnchor>
  <xdr:twoCellAnchor editAs="oneCell">
    <xdr:from>
      <xdr:col>4</xdr:col>
      <xdr:colOff>0</xdr:colOff>
      <xdr:row>90</xdr:row>
      <xdr:rowOff>18671</xdr:rowOff>
    </xdr:from>
    <xdr:to>
      <xdr:col>7</xdr:col>
      <xdr:colOff>457380</xdr:colOff>
      <xdr:row>96</xdr:row>
      <xdr:rowOff>145877</xdr:rowOff>
    </xdr:to>
    <xdr:pic>
      <xdr:nvPicPr>
        <xdr:cNvPr id="5" name="Picture 4">
          <a:extLst>
            <a:ext uri="{FF2B5EF4-FFF2-40B4-BE49-F238E27FC236}">
              <a16:creationId xmlns:a16="http://schemas.microsoft.com/office/drawing/2014/main" id="{30B80139-0A5A-4590-B5D0-D0A910DC5099}"/>
            </a:ext>
          </a:extLst>
        </xdr:cNvPr>
        <xdr:cNvPicPr>
          <a:picLocks noChangeAspect="1"/>
        </xdr:cNvPicPr>
      </xdr:nvPicPr>
      <xdr:blipFill>
        <a:blip xmlns:r="http://schemas.openxmlformats.org/officeDocument/2006/relationships" r:embed="rId1"/>
        <a:stretch>
          <a:fillRect/>
        </a:stretch>
      </xdr:blipFill>
      <xdr:spPr>
        <a:xfrm>
          <a:off x="5614897" y="16355951"/>
          <a:ext cx="2297332" cy="1407366"/>
        </a:xfrm>
        <a:prstGeom prst="rect">
          <a:avLst/>
        </a:prstGeom>
      </xdr:spPr>
    </xdr:pic>
    <xdr:clientData/>
  </xdr:twoCellAnchor>
  <xdr:oneCellAnchor>
    <xdr:from>
      <xdr:col>0</xdr:col>
      <xdr:colOff>776842</xdr:colOff>
      <xdr:row>90</xdr:row>
      <xdr:rowOff>161309</xdr:rowOff>
    </xdr:from>
    <xdr:ext cx="2033243" cy="180108"/>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9C4CD7C9-C3E3-48B2-9F4C-705DCC2DFE5E}"/>
                </a:ext>
              </a:extLst>
            </xdr:cNvPr>
            <xdr:cNvSpPr txBox="1"/>
          </xdr:nvSpPr>
          <xdr:spPr>
            <a:xfrm>
              <a:off x="776842" y="16498589"/>
              <a:ext cx="2033243" cy="180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a:rPr lang="en-IN" sz="1100" i="1">
                            <a:latin typeface="Cambria Math" panose="02040503050406030204" pitchFamily="18" charset="0"/>
                          </a:rPr>
                          <m:t>𝐶</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𝐶</m:t>
                        </m:r>
                      </m:e>
                      <m:sub>
                        <m:r>
                          <a:rPr lang="en-IN" sz="1100" i="1">
                            <a:latin typeface="Cambria Math" panose="02040503050406030204" pitchFamily="18" charset="0"/>
                          </a:rPr>
                          <m:t>𝑑</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𝛾</m:t>
                        </m:r>
                      </m:e>
                      <m:sub>
                        <m:r>
                          <a:rPr lang="en-IN" sz="1100" i="1">
                            <a:latin typeface="Cambria Math" panose="02040503050406030204" pitchFamily="18" charset="0"/>
                          </a:rPr>
                          <m:t>𝑐</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𝐵</m:t>
                        </m:r>
                      </m:e>
                      <m:sub>
                        <m:r>
                          <a:rPr lang="en-IN" sz="1100" i="1">
                            <a:latin typeface="Cambria Math" panose="02040503050406030204" pitchFamily="18" charset="0"/>
                          </a:rPr>
                          <m:t>𝑐</m:t>
                        </m:r>
                      </m:sub>
                    </m:sSub>
                    <m:r>
                      <a:rPr lang="en-IN" sz="1100" i="1">
                        <a:latin typeface="Cambria Math" panose="02040503050406030204" pitchFamily="18" charset="0"/>
                      </a:rPr>
                      <m:t>×</m:t>
                    </m:r>
                    <m:sSub>
                      <m:sSubPr>
                        <m:ctrlPr>
                          <a:rPr lang="en-IN" sz="1100" i="1">
                            <a:latin typeface="Cambria Math" panose="02040503050406030204" pitchFamily="18" charset="0"/>
                          </a:rPr>
                        </m:ctrlPr>
                      </m:sSubPr>
                      <m:e>
                        <m:r>
                          <a:rPr lang="en-IN" sz="1100" i="1">
                            <a:latin typeface="Cambria Math" panose="02040503050406030204" pitchFamily="18" charset="0"/>
                          </a:rPr>
                          <m:t>𝐵</m:t>
                        </m:r>
                      </m:e>
                      <m:sub>
                        <m:r>
                          <a:rPr lang="en-IN" sz="1100" i="1">
                            <a:latin typeface="Cambria Math" panose="02040503050406030204" pitchFamily="18" charset="0"/>
                          </a:rPr>
                          <m:t>𝐷</m:t>
                        </m:r>
                      </m:sub>
                    </m:sSub>
                  </m:oMath>
                </m:oMathPara>
              </a14:m>
              <a:endParaRPr lang="en-US" sz="1100"/>
            </a:p>
            <a:p>
              <a:endParaRPr lang="en-IN" sz="1100"/>
            </a:p>
          </xdr:txBody>
        </xdr:sp>
      </mc:Choice>
      <mc:Fallback>
        <xdr:sp macro="" textlink="">
          <xdr:nvSpPr>
            <xdr:cNvPr id="6" name="TextBox 5">
              <a:extLst>
                <a:ext uri="{FF2B5EF4-FFF2-40B4-BE49-F238E27FC236}">
                  <a16:creationId xmlns:a16="http://schemas.microsoft.com/office/drawing/2014/main" id="{9C4CD7C9-C3E3-48B2-9F4C-705DCC2DFE5E}"/>
                </a:ext>
              </a:extLst>
            </xdr:cNvPr>
            <xdr:cNvSpPr txBox="1"/>
          </xdr:nvSpPr>
          <xdr:spPr>
            <a:xfrm>
              <a:off x="776842" y="16498589"/>
              <a:ext cx="2033243" cy="180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IN" sz="1100" i="0">
                  <a:latin typeface="Cambria Math" panose="02040503050406030204" pitchFamily="18" charset="0"/>
                </a:rPr>
                <a:t>𝑊_𝐶=𝐶_𝑑×𝛾_𝑐×𝐵_𝑐×𝐵_𝐷</a:t>
              </a:r>
              <a:endParaRPr lang="en-US" sz="1100"/>
            </a:p>
            <a:p>
              <a:endParaRPr lang="en-IN" sz="1100"/>
            </a:p>
          </xdr:txBody>
        </xdr:sp>
      </mc:Fallback>
    </mc:AlternateContent>
    <xdr:clientData/>
  </xdr:oneCellAnchor>
  <xdr:oneCellAnchor>
    <xdr:from>
      <xdr:col>0</xdr:col>
      <xdr:colOff>0</xdr:colOff>
      <xdr:row>126</xdr:row>
      <xdr:rowOff>56443</xdr:rowOff>
    </xdr:from>
    <xdr:ext cx="2348089" cy="540597"/>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A9A4FE82-F1FB-4A34-BADD-B7CC67636425}"/>
                </a:ext>
              </a:extLst>
            </xdr:cNvPr>
            <xdr:cNvSpPr txBox="1"/>
          </xdr:nvSpPr>
          <xdr:spPr>
            <a:xfrm>
              <a:off x="0" y="23449843"/>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Δ</m:t>
                    </m:r>
                    <m:r>
                      <m:rPr>
                        <m:sty m:val="p"/>
                      </m:rPr>
                      <a:rPr lang="en-IN" sz="1100" b="0" i="1">
                        <a:latin typeface="Cambria Math" panose="02040503050406030204" pitchFamily="18" charset="0"/>
                      </a:rPr>
                      <m:t>x</m:t>
                    </m:r>
                    <m:r>
                      <a:rPr lang="en-IN" sz="1100" b="0" i="1" baseline="-25000">
                        <a:latin typeface="Cambria Math" panose="02040503050406030204" pitchFamily="18" charset="0"/>
                      </a:rPr>
                      <m:t>1</m:t>
                    </m:r>
                    <m:r>
                      <a:rPr lang="en-IN" sz="1100" i="1">
                        <a:latin typeface="Cambria Math" panose="02040503050406030204" pitchFamily="18" charset="0"/>
                      </a:rPr>
                      <m:t>=</m:t>
                    </m:r>
                    <m:f>
                      <m:fPr>
                        <m:ctrlPr>
                          <a:rPr lang="en-IN" sz="1100" i="1">
                            <a:latin typeface="Cambria Math" panose="02040503050406030204" pitchFamily="18" charset="0"/>
                          </a:rPr>
                        </m:ctrlPr>
                      </m:fPr>
                      <m:num>
                        <m:sSub>
                          <m:sSubPr>
                            <m:ctrlPr>
                              <a:rPr lang="en-IN" sz="1100" i="1">
                                <a:latin typeface="Cambria Math" panose="02040503050406030204" pitchFamily="18" charset="0"/>
                              </a:rPr>
                            </m:ctrlPr>
                          </m:sSubPr>
                          <m:e>
                            <m:r>
                              <a:rPr lang="en-IN" sz="1100" i="1">
                                <a:latin typeface="Cambria Math" panose="02040503050406030204" pitchFamily="18" charset="0"/>
                              </a:rPr>
                              <m:t>𝐷</m:t>
                            </m:r>
                          </m:e>
                          <m:sub>
                            <m:r>
                              <m:rPr>
                                <m:sty m:val="p"/>
                              </m:rPr>
                              <a:rPr lang="en-IN" sz="1100" b="0" i="1">
                                <a:latin typeface="Cambria Math" panose="02040503050406030204" pitchFamily="18" charset="0"/>
                              </a:rPr>
                              <m:t>e</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num>
                      <m:den>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a:rPr lang="en-IN" sz="1100" i="1">
                                <a:latin typeface="Cambria Math" panose="02040503050406030204" pitchFamily="18" charset="0"/>
                              </a:rPr>
                              <m:t>𝑒</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den>
                    </m:f>
                  </m:oMath>
                </m:oMathPara>
              </a14:m>
              <a:endParaRPr lang="en-US" sz="1100"/>
            </a:p>
            <a:p>
              <a:endParaRPr lang="en-IN" sz="1100"/>
            </a:p>
          </xdr:txBody>
        </xdr:sp>
      </mc:Choice>
      <mc:Fallback>
        <xdr:sp macro="" textlink="">
          <xdr:nvSpPr>
            <xdr:cNvPr id="7" name="TextBox 6">
              <a:extLst>
                <a:ext uri="{FF2B5EF4-FFF2-40B4-BE49-F238E27FC236}">
                  <a16:creationId xmlns:a16="http://schemas.microsoft.com/office/drawing/2014/main" id="{A9A4FE82-F1FB-4A34-BADD-B7CC67636425}"/>
                </a:ext>
              </a:extLst>
            </xdr:cNvPr>
            <xdr:cNvSpPr txBox="1"/>
          </xdr:nvSpPr>
          <xdr:spPr>
            <a:xfrm>
              <a:off x="0" y="23449843"/>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Δ</a:t>
              </a:r>
              <a:r>
                <a:rPr lang="en-IN" sz="1100" b="0" i="0">
                  <a:latin typeface="Cambria Math" panose="02040503050406030204" pitchFamily="18" charset="0"/>
                </a:rPr>
                <a:t>x</a:t>
              </a:r>
              <a:r>
                <a:rPr lang="en-IN" sz="1100" b="0" i="0" baseline="-25000">
                  <a:latin typeface="Cambria Math" panose="02040503050406030204" pitchFamily="18" charset="0"/>
                </a:rPr>
                <a:t>1</a:t>
              </a:r>
              <a:r>
                <a:rPr lang="en-IN" sz="1100" i="0">
                  <a:latin typeface="Cambria Math" panose="02040503050406030204" pitchFamily="18" charset="0"/>
                </a:rPr>
                <a:t>=(𝐷_</a:t>
              </a:r>
              <a:r>
                <a:rPr lang="en-IN" sz="1100" b="0" i="0">
                  <a:latin typeface="Cambria Math" panose="02040503050406030204" pitchFamily="18" charset="0"/>
                </a:rPr>
                <a:t>e </a:t>
              </a:r>
              <a:r>
                <a:rPr lang="en-IN" sz="1100" i="0">
                  <a:latin typeface="Cambria Math" panose="02040503050406030204" pitchFamily="18" charset="0"/>
                </a:rPr>
                <a:t>𝐾_𝜃 𝑊_</a:t>
              </a:r>
              <a:r>
                <a:rPr lang="en-IN" sz="1100" b="0" i="0">
                  <a:latin typeface="Cambria Math" panose="02040503050406030204" pitchFamily="18" charset="0"/>
                </a:rPr>
                <a:t>o </a:t>
              </a:r>
              <a:r>
                <a:rPr lang="en-IN" sz="1100" i="0">
                  <a:latin typeface="Cambria Math" panose="02040503050406030204" pitchFamily="18" charset="0"/>
                </a:rPr>
                <a:t>𝑅^3)/(𝐸𝐼+0.061𝑒′𝑅^3−2𝑃_𝑒 𝐾_𝜃 𝑅^3 )</a:t>
              </a:r>
              <a:endParaRPr lang="en-US" sz="1100"/>
            </a:p>
            <a:p>
              <a:endParaRPr lang="en-IN" sz="1100"/>
            </a:p>
          </xdr:txBody>
        </xdr:sp>
      </mc:Fallback>
    </mc:AlternateContent>
    <xdr:clientData/>
  </xdr:oneCellAnchor>
  <xdr:oneCellAnchor>
    <xdr:from>
      <xdr:col>0</xdr:col>
      <xdr:colOff>0</xdr:colOff>
      <xdr:row>133</xdr:row>
      <xdr:rowOff>0</xdr:rowOff>
    </xdr:from>
    <xdr:ext cx="2348089" cy="540597"/>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4BF3E387-3DA8-45B1-8F55-79D24FE6E779}"/>
                </a:ext>
              </a:extLst>
            </xdr:cNvPr>
            <xdr:cNvSpPr txBox="1"/>
          </xdr:nvSpPr>
          <xdr:spPr>
            <a:xfrm>
              <a:off x="0" y="25046940"/>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0">
                        <a:latin typeface="Cambria Math" panose="02040503050406030204" pitchFamily="18" charset="0"/>
                      </a:rPr>
                      <m:t>Δ</m:t>
                    </m:r>
                    <m:r>
                      <m:rPr>
                        <m:sty m:val="p"/>
                      </m:rPr>
                      <a:rPr lang="en-IN" sz="1100" b="0" i="0">
                        <a:latin typeface="Cambria Math" panose="02040503050406030204" pitchFamily="18" charset="0"/>
                      </a:rPr>
                      <m:t>x</m:t>
                    </m:r>
                    <m:r>
                      <m:rPr>
                        <m:nor/>
                      </m:rPr>
                      <a:rPr lang="en-US" sz="1100" b="0" i="0" baseline="-25000">
                        <a:latin typeface="Cambria Math" panose="02040503050406030204" pitchFamily="18" charset="0"/>
                      </a:rPr>
                      <m:t>2</m:t>
                    </m:r>
                    <m:r>
                      <a:rPr lang="en-IN" sz="1100" i="0">
                        <a:latin typeface="Cambria Math" panose="02040503050406030204" pitchFamily="18" charset="0"/>
                      </a:rPr>
                      <m:t>=</m:t>
                    </m:r>
                    <m:f>
                      <m:fPr>
                        <m:ctrlPr>
                          <a:rPr lang="en-IN" sz="1100" i="0">
                            <a:latin typeface="Cambria Math" panose="02040503050406030204" pitchFamily="18" charset="0"/>
                          </a:rPr>
                        </m:ctrlPr>
                      </m:fPr>
                      <m:num>
                        <m:sSub>
                          <m:sSubPr>
                            <m:ctrlPr>
                              <a:rPr lang="en-IN" sz="1100" i="0">
                                <a:latin typeface="Cambria Math" panose="02040503050406030204" pitchFamily="18" charset="0"/>
                              </a:rPr>
                            </m:ctrlPr>
                          </m:sSubPr>
                          <m:e>
                            <m:r>
                              <a:rPr lang="en-IN" sz="1100" i="0">
                                <a:latin typeface="Cambria Math" panose="02040503050406030204" pitchFamily="18" charset="0"/>
                              </a:rPr>
                              <m:t>𝐷</m:t>
                            </m:r>
                          </m:e>
                          <m:sub>
                            <m:r>
                              <a:rPr lang="en-IN" sz="1100" i="0">
                                <a:latin typeface="Cambria Math" panose="02040503050406030204" pitchFamily="18" charset="0"/>
                              </a:rPr>
                              <m:t>𝑒</m:t>
                            </m:r>
                          </m:sub>
                        </m:sSub>
                        <m:sSub>
                          <m:sSubPr>
                            <m:ctrlPr>
                              <a:rPr lang="en-IN" sz="1100" i="0">
                                <a:latin typeface="Cambria Math" panose="02040503050406030204" pitchFamily="18" charset="0"/>
                              </a:rPr>
                            </m:ctrlPr>
                          </m:sSubPr>
                          <m:e>
                            <m:r>
                              <a:rPr lang="en-IN" sz="1100" i="0">
                                <a:latin typeface="Cambria Math" panose="02040503050406030204" pitchFamily="18" charset="0"/>
                              </a:rPr>
                              <m:t>𝐾</m:t>
                            </m:r>
                          </m:e>
                          <m:sub>
                            <m:r>
                              <a:rPr lang="en-IN" sz="1100" i="0">
                                <a:latin typeface="Cambria Math" panose="02040503050406030204" pitchFamily="18" charset="0"/>
                              </a:rPr>
                              <m:t>𝜃</m:t>
                            </m:r>
                          </m:sub>
                        </m:sSub>
                        <m:sSub>
                          <m:sSubPr>
                            <m:ctrlPr>
                              <a:rPr lang="en-IN" sz="1100" i="0">
                                <a:latin typeface="Cambria Math" panose="02040503050406030204" pitchFamily="18" charset="0"/>
                              </a:rPr>
                            </m:ctrlPr>
                          </m:sSubPr>
                          <m:e>
                            <m:r>
                              <a:rPr lang="en-IN" sz="1100" i="0">
                                <a:latin typeface="Cambria Math" panose="02040503050406030204" pitchFamily="18" charset="0"/>
                              </a:rPr>
                              <m:t>𝑊</m:t>
                            </m:r>
                          </m:e>
                          <m:sub>
                            <m:r>
                              <a:rPr lang="en-IN" sz="1100" i="0">
                                <a:latin typeface="Cambria Math" panose="02040503050406030204" pitchFamily="18" charset="0"/>
                              </a:rPr>
                              <m:t>𝑜</m:t>
                            </m:r>
                          </m:sub>
                        </m:sSub>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num>
                      <m:den>
                        <m:r>
                          <a:rPr lang="en-IN" sz="1100" i="0">
                            <a:latin typeface="Cambria Math" panose="02040503050406030204" pitchFamily="18" charset="0"/>
                          </a:rPr>
                          <m:t>𝐸𝐼</m:t>
                        </m:r>
                        <m:r>
                          <a:rPr lang="en-IN" sz="1100" i="0">
                            <a:latin typeface="Cambria Math" panose="02040503050406030204" pitchFamily="18" charset="0"/>
                          </a:rPr>
                          <m:t>+0.061</m:t>
                        </m:r>
                        <m:sSup>
                          <m:sSupPr>
                            <m:ctrlPr>
                              <a:rPr lang="en-IN" sz="1100" i="0">
                                <a:latin typeface="Cambria Math" panose="02040503050406030204" pitchFamily="18" charset="0"/>
                              </a:rPr>
                            </m:ctrlPr>
                          </m:sSupPr>
                          <m:e>
                            <m:r>
                              <a:rPr lang="en-IN" sz="1100" i="0">
                                <a:latin typeface="Cambria Math" panose="02040503050406030204" pitchFamily="18" charset="0"/>
                              </a:rPr>
                              <m:t>𝑒</m:t>
                            </m:r>
                          </m:e>
                          <m:sup>
                            <m:r>
                              <a:rPr lang="en-IN" sz="1100" i="0">
                                <a:latin typeface="Cambria Math" panose="02040503050406030204" pitchFamily="18" charset="0"/>
                              </a:rPr>
                              <m:t>′</m:t>
                            </m:r>
                          </m:sup>
                        </m:sSup>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r>
                          <a:rPr lang="en-IN" sz="1100" b="0" i="0">
                            <a:latin typeface="Cambria Math" panose="02040503050406030204" pitchFamily="18" charset="0"/>
                          </a:rPr>
                          <m:t>+</m:t>
                        </m:r>
                        <m:r>
                          <a:rPr lang="en-IN" sz="1100" i="0">
                            <a:latin typeface="Cambria Math" panose="02040503050406030204" pitchFamily="18" charset="0"/>
                          </a:rPr>
                          <m:t>2</m:t>
                        </m:r>
                        <m:sSub>
                          <m:sSubPr>
                            <m:ctrlPr>
                              <a:rPr lang="en-IN" sz="1100" i="0">
                                <a:latin typeface="Cambria Math" panose="02040503050406030204" pitchFamily="18" charset="0"/>
                              </a:rPr>
                            </m:ctrlPr>
                          </m:sSubPr>
                          <m:e>
                            <m:r>
                              <a:rPr lang="en-IN" sz="1100" i="0">
                                <a:latin typeface="Cambria Math" panose="02040503050406030204" pitchFamily="18" charset="0"/>
                              </a:rPr>
                              <m:t>𝑃</m:t>
                            </m:r>
                          </m:e>
                          <m:sub>
                            <m:r>
                              <a:rPr lang="en-IN" sz="1100" i="0">
                                <a:latin typeface="Cambria Math" panose="02040503050406030204" pitchFamily="18" charset="0"/>
                              </a:rPr>
                              <m:t>𝑖</m:t>
                            </m:r>
                          </m:sub>
                        </m:sSub>
                        <m:sSub>
                          <m:sSubPr>
                            <m:ctrlPr>
                              <a:rPr lang="en-IN" sz="1100" i="0">
                                <a:latin typeface="Cambria Math" panose="02040503050406030204" pitchFamily="18" charset="0"/>
                              </a:rPr>
                            </m:ctrlPr>
                          </m:sSubPr>
                          <m:e>
                            <m:r>
                              <a:rPr lang="en-IN" sz="1100" i="0">
                                <a:latin typeface="Cambria Math" panose="02040503050406030204" pitchFamily="18" charset="0"/>
                              </a:rPr>
                              <m:t>𝐾</m:t>
                            </m:r>
                          </m:e>
                          <m:sub>
                            <m:r>
                              <a:rPr lang="en-IN" sz="1100" i="0">
                                <a:latin typeface="Cambria Math" panose="02040503050406030204" pitchFamily="18" charset="0"/>
                              </a:rPr>
                              <m:t>𝜃</m:t>
                            </m:r>
                          </m:sub>
                        </m:sSub>
                        <m:sSup>
                          <m:sSupPr>
                            <m:ctrlPr>
                              <a:rPr lang="en-IN" sz="1100" i="0">
                                <a:latin typeface="Cambria Math" panose="02040503050406030204" pitchFamily="18" charset="0"/>
                              </a:rPr>
                            </m:ctrlPr>
                          </m:sSupPr>
                          <m:e>
                            <m:r>
                              <a:rPr lang="en-IN" sz="1100" i="0">
                                <a:latin typeface="Cambria Math" panose="02040503050406030204" pitchFamily="18" charset="0"/>
                              </a:rPr>
                              <m:t>𝑅</m:t>
                            </m:r>
                          </m:e>
                          <m:sup>
                            <m:r>
                              <a:rPr lang="en-IN" sz="1100" i="0">
                                <a:latin typeface="Cambria Math" panose="02040503050406030204" pitchFamily="18" charset="0"/>
                              </a:rPr>
                              <m:t>3</m:t>
                            </m:r>
                          </m:sup>
                        </m:sSup>
                      </m:den>
                    </m:f>
                  </m:oMath>
                </m:oMathPara>
              </a14:m>
              <a:endParaRPr lang="en-US" sz="1100"/>
            </a:p>
            <a:p>
              <a:endParaRPr lang="en-IN" sz="1100"/>
            </a:p>
          </xdr:txBody>
        </xdr:sp>
      </mc:Choice>
      <mc:Fallback>
        <xdr:sp macro="" textlink="">
          <xdr:nvSpPr>
            <xdr:cNvPr id="8" name="TextBox 7">
              <a:extLst>
                <a:ext uri="{FF2B5EF4-FFF2-40B4-BE49-F238E27FC236}">
                  <a16:creationId xmlns:a16="http://schemas.microsoft.com/office/drawing/2014/main" id="{4BF3E387-3DA8-45B1-8F55-79D24FE6E779}"/>
                </a:ext>
              </a:extLst>
            </xdr:cNvPr>
            <xdr:cNvSpPr txBox="1"/>
          </xdr:nvSpPr>
          <xdr:spPr>
            <a:xfrm>
              <a:off x="0" y="25046940"/>
              <a:ext cx="2348089" cy="540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Δ</a:t>
              </a:r>
              <a:r>
                <a:rPr lang="en-IN" sz="1100" b="0" i="0">
                  <a:latin typeface="Cambria Math" panose="02040503050406030204" pitchFamily="18" charset="0"/>
                </a:rPr>
                <a:t>x</a:t>
              </a:r>
              <a:r>
                <a:rPr lang="en-US" sz="1100" b="0" i="0" baseline="-25000">
                  <a:latin typeface="Cambria Math" panose="02040503050406030204" pitchFamily="18" charset="0"/>
                </a:rPr>
                <a:t>"2</a:t>
              </a:r>
              <a:r>
                <a:rPr lang="en-IN" sz="1100" b="0" i="0" baseline="-25000">
                  <a:latin typeface="Cambria Math" panose="02040503050406030204" pitchFamily="18" charset="0"/>
                </a:rPr>
                <a:t>"</a:t>
              </a:r>
              <a:r>
                <a:rPr lang="en-IN" sz="1100" i="0">
                  <a:latin typeface="Cambria Math" panose="02040503050406030204" pitchFamily="18" charset="0"/>
                </a:rPr>
                <a:t>=(𝐷_𝑒 𝐾_𝜃 𝑊_𝑜 𝑅^3)/(𝐸𝐼+0.061𝑒^′ 𝑅^3</a:t>
              </a:r>
              <a:r>
                <a:rPr lang="en-IN" sz="1100" b="0" i="0">
                  <a:latin typeface="Cambria Math" panose="02040503050406030204" pitchFamily="18" charset="0"/>
                </a:rPr>
                <a:t>+</a:t>
              </a:r>
              <a:r>
                <a:rPr lang="en-IN" sz="1100" i="0">
                  <a:latin typeface="Cambria Math" panose="02040503050406030204" pitchFamily="18" charset="0"/>
                </a:rPr>
                <a:t>2𝑃_𝑖 𝐾_𝜃 𝑅^3 )</a:t>
              </a:r>
              <a:endParaRPr lang="en-US" sz="1100"/>
            </a:p>
            <a:p>
              <a:endParaRPr lang="en-IN" sz="1100"/>
            </a:p>
          </xdr:txBody>
        </xdr:sp>
      </mc:Fallback>
    </mc:AlternateContent>
    <xdr:clientData/>
  </xdr:oneCellAnchor>
  <xdr:oneCellAnchor>
    <xdr:from>
      <xdr:col>0</xdr:col>
      <xdr:colOff>257963</xdr:colOff>
      <xdr:row>140</xdr:row>
      <xdr:rowOff>94282</xdr:rowOff>
    </xdr:from>
    <xdr:ext cx="2631057" cy="486415"/>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20ABDC22-D8C7-448B-B3B1-5DB018A10DCF}"/>
                </a:ext>
              </a:extLst>
            </xdr:cNvPr>
            <xdr:cNvSpPr txBox="1"/>
          </xdr:nvSpPr>
          <xdr:spPr>
            <a:xfrm>
              <a:off x="257963" y="26665222"/>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M</m:t>
                    </m:r>
                    <m:r>
                      <a:rPr lang="en-IN" sz="1100" i="1">
                        <a:latin typeface="Cambria Math" panose="02040503050406030204" pitchFamily="18" charset="0"/>
                      </a:rPr>
                      <m:t>=</m:t>
                    </m:r>
                    <m:f>
                      <m:fPr>
                        <m:ctrlPr>
                          <a:rPr lang="en-IN" sz="1100" b="0" i="1">
                            <a:latin typeface="Cambria Math" panose="02040503050406030204" pitchFamily="18" charset="0"/>
                          </a:rPr>
                        </m:ctrlPr>
                      </m:fPr>
                      <m:num>
                        <m:r>
                          <m:rPr>
                            <m:sty m:val="p"/>
                          </m:rPr>
                          <a:rPr lang="en-IN" sz="1100" b="0" i="1">
                            <a:latin typeface="Cambria Math" panose="02040503050406030204" pitchFamily="18" charset="0"/>
                          </a:rPr>
                          <m:t>K</m:t>
                        </m:r>
                        <m:r>
                          <m:rPr>
                            <m:sty m:val="p"/>
                          </m:rPr>
                          <a:rPr lang="en-IN" sz="1100" b="0" i="1" baseline="-25000">
                            <a:latin typeface="Cambria Math" panose="02040503050406030204" pitchFamily="18" charset="0"/>
                          </a:rPr>
                          <m:t>b</m:t>
                        </m:r>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r>
                          <m:rPr>
                            <m:sty m:val="p"/>
                          </m:rPr>
                          <a:rPr lang="en-IN" sz="1100" b="0" i="1">
                            <a:latin typeface="Cambria Math" panose="02040503050406030204" pitchFamily="18" charset="0"/>
                          </a:rPr>
                          <m:t>REI</m:t>
                        </m:r>
                      </m:num>
                      <m:den>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a:rPr lang="en-IN" sz="1100" i="1">
                                <a:latin typeface="Cambria Math" panose="02040503050406030204" pitchFamily="18" charset="0"/>
                              </a:rPr>
                              <m:t>𝑒</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den>
                    </m:f>
                  </m:oMath>
                </m:oMathPara>
              </a14:m>
              <a:endParaRPr lang="en-US" sz="900"/>
            </a:p>
            <a:p>
              <a:endParaRPr lang="en-IN" sz="900"/>
            </a:p>
          </xdr:txBody>
        </xdr:sp>
      </mc:Choice>
      <mc:Fallback>
        <xdr:sp macro="" textlink="">
          <xdr:nvSpPr>
            <xdr:cNvPr id="9" name="TextBox 8">
              <a:extLst>
                <a:ext uri="{FF2B5EF4-FFF2-40B4-BE49-F238E27FC236}">
                  <a16:creationId xmlns:a16="http://schemas.microsoft.com/office/drawing/2014/main" id="{20ABDC22-D8C7-448B-B3B1-5DB018A10DCF}"/>
                </a:ext>
              </a:extLst>
            </xdr:cNvPr>
            <xdr:cNvSpPr txBox="1"/>
          </xdr:nvSpPr>
          <xdr:spPr>
            <a:xfrm>
              <a:off x="257963" y="26665222"/>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M=(</a:t>
              </a:r>
              <a:r>
                <a:rPr lang="en-IN" sz="1100" b="0" i="0">
                  <a:latin typeface="Cambria Math" panose="02040503050406030204" pitchFamily="18" charset="0"/>
                </a:rPr>
                <a:t>K</a:t>
              </a:r>
              <a:r>
                <a:rPr lang="en-IN" sz="1100" b="0" i="0" baseline="-25000">
                  <a:latin typeface="Cambria Math" panose="02040503050406030204" pitchFamily="18" charset="0"/>
                </a:rPr>
                <a:t>b</a:t>
              </a:r>
              <a:r>
                <a:rPr lang="en-IN" sz="1100" i="0">
                  <a:latin typeface="Cambria Math" panose="02040503050406030204" pitchFamily="18" charset="0"/>
                </a:rPr>
                <a:t>𝑊_</a:t>
              </a:r>
              <a:r>
                <a:rPr lang="en-IN" sz="1100" b="0" i="0">
                  <a:latin typeface="Cambria Math" panose="02040503050406030204" pitchFamily="18" charset="0"/>
                </a:rPr>
                <a:t>o REI)/(</a:t>
              </a:r>
              <a:r>
                <a:rPr lang="en-IN" sz="1100" i="0">
                  <a:latin typeface="Cambria Math" panose="02040503050406030204" pitchFamily="18" charset="0"/>
                </a:rPr>
                <a:t>𝐸𝐼+0.061𝑒′𝑅^3−2𝑃_𝑒 𝐾_𝜃 𝑅^3 )</a:t>
              </a:r>
              <a:endParaRPr lang="en-US" sz="900"/>
            </a:p>
            <a:p>
              <a:endParaRPr lang="en-IN" sz="900"/>
            </a:p>
          </xdr:txBody>
        </xdr:sp>
      </mc:Fallback>
    </mc:AlternateContent>
    <xdr:clientData/>
  </xdr:oneCellAnchor>
  <xdr:oneCellAnchor>
    <xdr:from>
      <xdr:col>0</xdr:col>
      <xdr:colOff>534865</xdr:colOff>
      <xdr:row>150</xdr:row>
      <xdr:rowOff>58615</xdr:rowOff>
    </xdr:from>
    <xdr:ext cx="2631057" cy="486415"/>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7C2AD17E-A1CD-4776-A91A-F76FA3776874}"/>
                </a:ext>
              </a:extLst>
            </xdr:cNvPr>
            <xdr:cNvSpPr txBox="1"/>
          </xdr:nvSpPr>
          <xdr:spPr>
            <a:xfrm>
              <a:off x="534865" y="28930795"/>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
                    <m:r>
                      <m:rPr>
                        <m:sty m:val="p"/>
                      </m:rPr>
                      <a:rPr lang="en-IN" sz="1100" i="1">
                        <a:latin typeface="Cambria Math" panose="02040503050406030204" pitchFamily="18" charset="0"/>
                      </a:rPr>
                      <m:t>f</m:t>
                    </m:r>
                    <m:r>
                      <a:rPr lang="en-IN" sz="1100" i="1">
                        <a:latin typeface="Cambria Math" panose="02040503050406030204" pitchFamily="18" charset="0"/>
                      </a:rPr>
                      <m:t>=</m:t>
                    </m:r>
                    <m:f>
                      <m:fPr>
                        <m:ctrlPr>
                          <a:rPr lang="en-IN" sz="1100" b="0" i="1">
                            <a:latin typeface="Cambria Math" panose="02040503050406030204" pitchFamily="18" charset="0"/>
                          </a:rPr>
                        </m:ctrlPr>
                      </m:fPr>
                      <m:num>
                        <m:r>
                          <m:rPr>
                            <m:sty m:val="p"/>
                          </m:rPr>
                          <a:rPr lang="en-IN" sz="1100" b="0" i="1">
                            <a:latin typeface="Cambria Math" panose="02040503050406030204" pitchFamily="18" charset="0"/>
                          </a:rPr>
                          <m:t>K</m:t>
                        </m:r>
                        <m:r>
                          <m:rPr>
                            <m:sty m:val="p"/>
                          </m:rPr>
                          <a:rPr lang="en-IN" sz="1100" b="0" i="1" baseline="-25000">
                            <a:latin typeface="Cambria Math" panose="02040503050406030204" pitchFamily="18" charset="0"/>
                          </a:rPr>
                          <m:t>b</m:t>
                        </m:r>
                        <m:sSub>
                          <m:sSubPr>
                            <m:ctrlPr>
                              <a:rPr lang="en-IN" sz="1100" i="1">
                                <a:latin typeface="Cambria Math" panose="02040503050406030204" pitchFamily="18" charset="0"/>
                              </a:rPr>
                            </m:ctrlPr>
                          </m:sSubPr>
                          <m:e>
                            <m:r>
                              <a:rPr lang="en-IN" sz="1100" i="1">
                                <a:latin typeface="Cambria Math" panose="02040503050406030204" pitchFamily="18" charset="0"/>
                              </a:rPr>
                              <m:t>𝑊</m:t>
                            </m:r>
                          </m:e>
                          <m:sub>
                            <m:r>
                              <m:rPr>
                                <m:sty m:val="p"/>
                              </m:rPr>
                              <a:rPr lang="en-IN" sz="1100" b="0" i="1">
                                <a:latin typeface="Cambria Math" panose="02040503050406030204" pitchFamily="18" charset="0"/>
                              </a:rPr>
                              <m:t>o</m:t>
                            </m:r>
                          </m:sub>
                        </m:sSub>
                        <m:r>
                          <m:rPr>
                            <m:sty m:val="p"/>
                          </m:rPr>
                          <a:rPr lang="en-IN" sz="1100" b="0" i="1">
                            <a:latin typeface="Cambria Math" panose="02040503050406030204" pitchFamily="18" charset="0"/>
                          </a:rPr>
                          <m:t>REt</m:t>
                        </m:r>
                      </m:num>
                      <m:den>
                        <m:r>
                          <a:rPr lang="en-IN" sz="1100" b="0" i="1">
                            <a:latin typeface="Cambria Math" panose="02040503050406030204" pitchFamily="18" charset="0"/>
                          </a:rPr>
                          <m:t>2(</m:t>
                        </m:r>
                        <m:r>
                          <a:rPr lang="en-IN" sz="1100" i="1">
                            <a:latin typeface="Cambria Math" panose="02040503050406030204" pitchFamily="18" charset="0"/>
                          </a:rPr>
                          <m:t>𝐸𝐼</m:t>
                        </m:r>
                        <m:r>
                          <a:rPr lang="en-IN" sz="1100" i="1">
                            <a:latin typeface="Cambria Math" panose="02040503050406030204" pitchFamily="18" charset="0"/>
                          </a:rPr>
                          <m:t>+0.061</m:t>
                        </m:r>
                        <m:r>
                          <a:rPr lang="en-IN" sz="1100" i="1">
                            <a:latin typeface="Cambria Math" panose="02040503050406030204" pitchFamily="18" charset="0"/>
                          </a:rPr>
                          <m:t>𝑒</m:t>
                        </m:r>
                        <m:r>
                          <a:rPr lang="en-IN" sz="1100" i="1">
                            <a:latin typeface="Cambria Math" panose="02040503050406030204" pitchFamily="18" charset="0"/>
                          </a:rPr>
                          <m:t>′</m:t>
                        </m:r>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b="0" i="1">
                            <a:latin typeface="Cambria Math" panose="02040503050406030204" pitchFamily="18" charset="0"/>
                          </a:rPr>
                          <m:t>+</m:t>
                        </m:r>
                        <m:r>
                          <a:rPr lang="en-IN" sz="1100" i="1">
                            <a:latin typeface="Cambria Math" panose="02040503050406030204" pitchFamily="18" charset="0"/>
                          </a:rPr>
                          <m:t>2</m:t>
                        </m:r>
                        <m:sSub>
                          <m:sSubPr>
                            <m:ctrlPr>
                              <a:rPr lang="en-IN" sz="1100" i="1">
                                <a:latin typeface="Cambria Math" panose="02040503050406030204" pitchFamily="18" charset="0"/>
                              </a:rPr>
                            </m:ctrlPr>
                          </m:sSubPr>
                          <m:e>
                            <m:r>
                              <a:rPr lang="en-IN" sz="1100" i="1">
                                <a:latin typeface="Cambria Math" panose="02040503050406030204" pitchFamily="18" charset="0"/>
                              </a:rPr>
                              <m:t>𝑃</m:t>
                            </m:r>
                          </m:e>
                          <m:sub>
                            <m:r>
                              <m:rPr>
                                <m:sty m:val="p"/>
                              </m:rPr>
                              <a:rPr lang="en-IN" sz="1100" b="0" i="1">
                                <a:latin typeface="Cambria Math" panose="02040503050406030204" pitchFamily="18" charset="0"/>
                              </a:rPr>
                              <m:t>i</m:t>
                            </m:r>
                          </m:sub>
                        </m:sSub>
                        <m:sSub>
                          <m:sSubPr>
                            <m:ctrlPr>
                              <a:rPr lang="en-IN" sz="1100" i="1">
                                <a:latin typeface="Cambria Math" panose="02040503050406030204" pitchFamily="18" charset="0"/>
                              </a:rPr>
                            </m:ctrlPr>
                          </m:sSubPr>
                          <m:e>
                            <m:r>
                              <a:rPr lang="en-IN" sz="1100" i="1">
                                <a:latin typeface="Cambria Math" panose="02040503050406030204" pitchFamily="18" charset="0"/>
                              </a:rPr>
                              <m:t>𝐾</m:t>
                            </m:r>
                          </m:e>
                          <m:sub>
                            <m:r>
                              <a:rPr lang="en-IN" sz="1100" i="1">
                                <a:latin typeface="Cambria Math" panose="02040503050406030204" pitchFamily="18" charset="0"/>
                              </a:rPr>
                              <m:t>𝜃</m:t>
                            </m:r>
                          </m:sub>
                        </m:sSub>
                        <m:sSup>
                          <m:sSupPr>
                            <m:ctrlPr>
                              <a:rPr lang="en-IN" sz="1100" i="1">
                                <a:latin typeface="Cambria Math" panose="02040503050406030204" pitchFamily="18" charset="0"/>
                              </a:rPr>
                            </m:ctrlPr>
                          </m:sSupPr>
                          <m:e>
                            <m:r>
                              <a:rPr lang="en-IN" sz="1100" i="1">
                                <a:latin typeface="Cambria Math" panose="02040503050406030204" pitchFamily="18" charset="0"/>
                              </a:rPr>
                              <m:t>𝑅</m:t>
                            </m:r>
                          </m:e>
                          <m:sup>
                            <m:r>
                              <a:rPr lang="en-IN" sz="1100" i="1">
                                <a:latin typeface="Cambria Math" panose="02040503050406030204" pitchFamily="18" charset="0"/>
                              </a:rPr>
                              <m:t>3</m:t>
                            </m:r>
                          </m:sup>
                        </m:sSup>
                        <m:r>
                          <a:rPr lang="en-IN" sz="1100" b="0" i="1">
                            <a:latin typeface="Cambria Math" panose="02040503050406030204" pitchFamily="18" charset="0"/>
                          </a:rPr>
                          <m:t>)</m:t>
                        </m:r>
                      </m:den>
                    </m:f>
                  </m:oMath>
                </m:oMathPara>
              </a14:m>
              <a:endParaRPr lang="en-US" sz="900"/>
            </a:p>
            <a:p>
              <a:endParaRPr lang="en-IN" sz="900"/>
            </a:p>
          </xdr:txBody>
        </xdr:sp>
      </mc:Choice>
      <mc:Fallback>
        <xdr:sp macro="" textlink="">
          <xdr:nvSpPr>
            <xdr:cNvPr id="10" name="TextBox 9">
              <a:extLst>
                <a:ext uri="{FF2B5EF4-FFF2-40B4-BE49-F238E27FC236}">
                  <a16:creationId xmlns:a16="http://schemas.microsoft.com/office/drawing/2014/main" id="{7C2AD17E-A1CD-4776-A91A-F76FA3776874}"/>
                </a:ext>
              </a:extLst>
            </xdr:cNvPr>
            <xdr:cNvSpPr txBox="1"/>
          </xdr:nvSpPr>
          <xdr:spPr>
            <a:xfrm>
              <a:off x="534865" y="28930795"/>
              <a:ext cx="2631057" cy="486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100" i="0">
                  <a:latin typeface="Cambria Math" panose="02040503050406030204" pitchFamily="18" charset="0"/>
                </a:rPr>
                <a:t>f=(</a:t>
              </a:r>
              <a:r>
                <a:rPr lang="en-IN" sz="1100" b="0" i="0">
                  <a:latin typeface="Cambria Math" panose="02040503050406030204" pitchFamily="18" charset="0"/>
                </a:rPr>
                <a:t>K</a:t>
              </a:r>
              <a:r>
                <a:rPr lang="en-IN" sz="1100" b="0" i="0" baseline="-25000">
                  <a:latin typeface="Cambria Math" panose="02040503050406030204" pitchFamily="18" charset="0"/>
                </a:rPr>
                <a:t>b</a:t>
              </a:r>
              <a:r>
                <a:rPr lang="en-IN" sz="1100" i="0">
                  <a:latin typeface="Cambria Math" panose="02040503050406030204" pitchFamily="18" charset="0"/>
                </a:rPr>
                <a:t>𝑊_</a:t>
              </a:r>
              <a:r>
                <a:rPr lang="en-IN" sz="1100" b="0" i="0">
                  <a:latin typeface="Cambria Math" panose="02040503050406030204" pitchFamily="18" charset="0"/>
                </a:rPr>
                <a:t>o REt)/(2(</a:t>
              </a:r>
              <a:r>
                <a:rPr lang="en-IN" sz="1100" i="0">
                  <a:latin typeface="Cambria Math" panose="02040503050406030204" pitchFamily="18" charset="0"/>
                </a:rPr>
                <a:t>𝐸𝐼+0.061𝑒′𝑅^3</a:t>
              </a:r>
              <a:r>
                <a:rPr lang="en-IN" sz="1100" b="0" i="0">
                  <a:latin typeface="Cambria Math" panose="02040503050406030204" pitchFamily="18" charset="0"/>
                </a:rPr>
                <a:t>+</a:t>
              </a:r>
              <a:r>
                <a:rPr lang="en-IN" sz="1100" i="0">
                  <a:latin typeface="Cambria Math" panose="02040503050406030204" pitchFamily="18" charset="0"/>
                </a:rPr>
                <a:t>2𝑃_</a:t>
              </a:r>
              <a:r>
                <a:rPr lang="en-IN" sz="1100" b="0" i="0">
                  <a:latin typeface="Cambria Math" panose="02040503050406030204" pitchFamily="18" charset="0"/>
                </a:rPr>
                <a:t>i </a:t>
              </a:r>
              <a:r>
                <a:rPr lang="en-IN" sz="1100" i="0">
                  <a:latin typeface="Cambria Math" panose="02040503050406030204" pitchFamily="18" charset="0"/>
                </a:rPr>
                <a:t>𝐾_𝜃 𝑅^3</a:t>
              </a:r>
              <a:r>
                <a:rPr lang="en-IN" sz="1100" b="0" i="0">
                  <a:latin typeface="Cambria Math" panose="02040503050406030204" pitchFamily="18" charset="0"/>
                </a:rPr>
                <a:t>))</a:t>
              </a:r>
              <a:endParaRPr lang="en-US" sz="900"/>
            </a:p>
            <a:p>
              <a:endParaRPr lang="en-IN" sz="900"/>
            </a:p>
          </xdr:txBody>
        </xdr:sp>
      </mc:Fallback>
    </mc:AlternateContent>
    <xdr:clientData/>
  </xdr:oneCellAnchor>
  <xdr:twoCellAnchor editAs="oneCell">
    <xdr:from>
      <xdr:col>0</xdr:col>
      <xdr:colOff>27878</xdr:colOff>
      <xdr:row>1</xdr:row>
      <xdr:rowOff>96553</xdr:rowOff>
    </xdr:from>
    <xdr:to>
      <xdr:col>0</xdr:col>
      <xdr:colOff>910683</xdr:colOff>
      <xdr:row>1</xdr:row>
      <xdr:rowOff>602551</xdr:rowOff>
    </xdr:to>
    <xdr:pic>
      <xdr:nvPicPr>
        <xdr:cNvPr id="11" name="Picture 10" descr="PE Large Diameter Pipes">
          <a:extLst>
            <a:ext uri="{FF2B5EF4-FFF2-40B4-BE49-F238E27FC236}">
              <a16:creationId xmlns:a16="http://schemas.microsoft.com/office/drawing/2014/main" id="{8C3B9E7D-061C-F507-978C-C765518AC627}"/>
            </a:ext>
          </a:extLst>
        </xdr:cNvPr>
        <xdr:cNvPicPr>
          <a:picLocks noChangeAspect="1"/>
        </xdr:cNvPicPr>
      </xdr:nvPicPr>
      <xdr:blipFill>
        <a:blip xmlns:r="http://schemas.openxmlformats.org/officeDocument/2006/relationships" r:embed="rId2"/>
        <a:stretch>
          <a:fillRect/>
        </a:stretch>
      </xdr:blipFill>
      <xdr:spPr>
        <a:xfrm>
          <a:off x="27878" y="421797"/>
          <a:ext cx="882805" cy="505998"/>
        </a:xfrm>
        <a:prstGeom prst="rect">
          <a:avLst/>
        </a:prstGeom>
      </xdr:spPr>
    </xdr:pic>
    <xdr:clientData/>
  </xdr:twoCellAnchor>
  <xdr:twoCellAnchor editAs="oneCell">
    <xdr:from>
      <xdr:col>2</xdr:col>
      <xdr:colOff>520390</xdr:colOff>
      <xdr:row>0</xdr:row>
      <xdr:rowOff>252913</xdr:rowOff>
    </xdr:from>
    <xdr:to>
      <xdr:col>3</xdr:col>
      <xdr:colOff>415506</xdr:colOff>
      <xdr:row>1</xdr:row>
      <xdr:rowOff>672423</xdr:rowOff>
    </xdr:to>
    <xdr:pic>
      <xdr:nvPicPr>
        <xdr:cNvPr id="12" name="Picture 11">
          <a:extLst>
            <a:ext uri="{FF2B5EF4-FFF2-40B4-BE49-F238E27FC236}">
              <a16:creationId xmlns:a16="http://schemas.microsoft.com/office/drawing/2014/main" id="{28B022B1-E133-4FB0-E17A-6E02BCEB8CA6}"/>
            </a:ext>
          </a:extLst>
        </xdr:cNvPr>
        <xdr:cNvPicPr>
          <a:picLocks noChangeAspect="1"/>
        </xdr:cNvPicPr>
      </xdr:nvPicPr>
      <xdr:blipFill>
        <a:blip xmlns:r="http://schemas.openxmlformats.org/officeDocument/2006/relationships" r:embed="rId3"/>
        <a:stretch>
          <a:fillRect/>
        </a:stretch>
      </xdr:blipFill>
      <xdr:spPr>
        <a:xfrm>
          <a:off x="4107366" y="252913"/>
          <a:ext cx="740750" cy="7447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5C1-F3CF-4777-AC20-EDA5A17C0599}">
  <dimension ref="A2:C28"/>
  <sheetViews>
    <sheetView tabSelected="1" topLeftCell="A10" zoomScale="90" workbookViewId="0">
      <selection activeCell="G23" sqref="G23"/>
    </sheetView>
  </sheetViews>
  <sheetFormatPr defaultRowHeight="14.4" x14ac:dyDescent="0.3"/>
  <cols>
    <col min="1" max="1" width="27.6640625" customWidth="1"/>
    <col min="2" max="2" width="15.33203125" customWidth="1"/>
  </cols>
  <sheetData>
    <row r="2" spans="1:3" ht="21" x14ac:dyDescent="0.4">
      <c r="A2" s="39" t="s">
        <v>210</v>
      </c>
    </row>
    <row r="3" spans="1:3" x14ac:dyDescent="0.3">
      <c r="A3" s="2" t="s">
        <v>203</v>
      </c>
    </row>
    <row r="4" spans="1:3" x14ac:dyDescent="0.3">
      <c r="A4" t="s">
        <v>205</v>
      </c>
    </row>
    <row r="5" spans="1:3" x14ac:dyDescent="0.3">
      <c r="A5" t="s">
        <v>206</v>
      </c>
    </row>
    <row r="6" spans="1:3" x14ac:dyDescent="0.3">
      <c r="A6" t="s">
        <v>207</v>
      </c>
    </row>
    <row r="7" spans="1:3" x14ac:dyDescent="0.3">
      <c r="A7" t="s">
        <v>208</v>
      </c>
    </row>
    <row r="8" spans="1:3" x14ac:dyDescent="0.3">
      <c r="A8" t="s">
        <v>209</v>
      </c>
    </row>
    <row r="10" spans="1:3" x14ac:dyDescent="0.3">
      <c r="A10" s="2" t="s">
        <v>204</v>
      </c>
    </row>
    <row r="11" spans="1:3" ht="16.2" x14ac:dyDescent="0.3">
      <c r="A11" s="36" t="s">
        <v>5</v>
      </c>
      <c r="B11" s="3">
        <v>29.7</v>
      </c>
      <c r="C11" s="1" t="s">
        <v>4</v>
      </c>
    </row>
    <row r="12" spans="1:3" x14ac:dyDescent="0.3">
      <c r="A12" s="36" t="s">
        <v>6</v>
      </c>
      <c r="B12" s="3">
        <v>100</v>
      </c>
      <c r="C12" s="1" t="s">
        <v>15</v>
      </c>
    </row>
    <row r="13" spans="1:3" x14ac:dyDescent="0.3">
      <c r="A13" s="36" t="s">
        <v>7</v>
      </c>
      <c r="B13" s="4">
        <v>0</v>
      </c>
      <c r="C13" s="1" t="s">
        <v>8</v>
      </c>
    </row>
    <row r="15" spans="1:3" x14ac:dyDescent="0.3">
      <c r="A15" t="s">
        <v>38</v>
      </c>
      <c r="B15" s="35">
        <v>25</v>
      </c>
      <c r="C15" s="1" t="s">
        <v>39</v>
      </c>
    </row>
    <row r="16" spans="1:3" x14ac:dyDescent="0.3">
      <c r="A16" t="s">
        <v>40</v>
      </c>
      <c r="B16" s="35">
        <v>0</v>
      </c>
      <c r="C16" s="1" t="s">
        <v>39</v>
      </c>
    </row>
    <row r="17" spans="1:3" x14ac:dyDescent="0.3">
      <c r="A17" t="s">
        <v>44</v>
      </c>
      <c r="B17" s="35">
        <v>0</v>
      </c>
      <c r="C17" s="1" t="s">
        <v>39</v>
      </c>
    </row>
    <row r="19" spans="1:3" x14ac:dyDescent="0.3">
      <c r="A19" t="s">
        <v>60</v>
      </c>
      <c r="B19" s="3" t="s">
        <v>66</v>
      </c>
    </row>
    <row r="20" spans="1:3" ht="28.8" x14ac:dyDescent="0.3">
      <c r="A20" s="9" t="s">
        <v>88</v>
      </c>
      <c r="B20" s="16">
        <v>2100000</v>
      </c>
      <c r="C20" s="1" t="s">
        <v>98</v>
      </c>
    </row>
    <row r="21" spans="1:3" ht="16.2" x14ac:dyDescent="0.3">
      <c r="A21" s="9" t="s">
        <v>91</v>
      </c>
      <c r="B21" s="3">
        <v>0</v>
      </c>
      <c r="C21" s="1" t="s">
        <v>97</v>
      </c>
    </row>
    <row r="22" spans="1:3" ht="28.8" x14ac:dyDescent="0.3">
      <c r="A22" s="9" t="s">
        <v>92</v>
      </c>
      <c r="B22" s="16">
        <v>357000</v>
      </c>
      <c r="C22" s="1" t="s">
        <v>97</v>
      </c>
    </row>
    <row r="24" spans="1:3" x14ac:dyDescent="0.3">
      <c r="A24" t="s">
        <v>113</v>
      </c>
      <c r="B24" s="3" t="s">
        <v>114</v>
      </c>
    </row>
    <row r="26" spans="1:3" x14ac:dyDescent="0.3">
      <c r="A26" t="s">
        <v>151</v>
      </c>
      <c r="B26" s="35">
        <v>180</v>
      </c>
      <c r="C26" s="1" t="s">
        <v>51</v>
      </c>
    </row>
    <row r="27" spans="1:3" x14ac:dyDescent="0.3">
      <c r="A27" t="s">
        <v>153</v>
      </c>
      <c r="B27" s="35">
        <v>30</v>
      </c>
      <c r="C27" s="1" t="s">
        <v>51</v>
      </c>
    </row>
    <row r="28" spans="1:3" ht="28.8" x14ac:dyDescent="0.3">
      <c r="A28" s="9" t="s">
        <v>162</v>
      </c>
      <c r="B28" s="35">
        <v>80</v>
      </c>
      <c r="C28" s="1" t="s">
        <v>85</v>
      </c>
    </row>
  </sheetData>
  <dataValidations count="1">
    <dataValidation type="list" allowBlank="1" showInputMessage="1" showErrorMessage="1" sqref="B24" xr:uid="{497BA599-3BEB-43DE-BC5D-1BCED3B87E7D}">
      <formula1>"Shop Welding, Field Welding"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4B9147-6CFE-464B-A7FA-C4492821B7C8}">
          <x14:formula1>
            <xm:f>'Grade of steel'!$A$4:$A$12</xm:f>
          </x14:formula1>
          <xm:sqref>B19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7"/>
  <sheetViews>
    <sheetView zoomScale="82" workbookViewId="0">
      <selection activeCell="G23" sqref="G23"/>
    </sheetView>
  </sheetViews>
  <sheetFormatPr defaultRowHeight="14.4" x14ac:dyDescent="0.3"/>
  <cols>
    <col min="1" max="1" width="39" customWidth="1"/>
    <col min="2" max="2" width="13.5546875" customWidth="1"/>
    <col min="3" max="3" width="12.33203125" customWidth="1"/>
    <col min="4" max="4" width="16.77734375" customWidth="1"/>
    <col min="5" max="5" width="44.21875" customWidth="1"/>
  </cols>
  <sheetData>
    <row r="1" spans="1:9" ht="23.4" x14ac:dyDescent="0.45">
      <c r="A1" s="21" t="s">
        <v>34</v>
      </c>
      <c r="B1" s="21"/>
      <c r="C1" s="21"/>
      <c r="D1" s="21"/>
      <c r="E1" s="21"/>
      <c r="F1" s="21"/>
      <c r="G1" s="21"/>
      <c r="H1" s="21"/>
      <c r="I1" s="21"/>
    </row>
    <row r="3" spans="1:9" x14ac:dyDescent="0.3">
      <c r="A3" s="8" t="s">
        <v>0</v>
      </c>
      <c r="B3" s="8" t="s">
        <v>1</v>
      </c>
      <c r="C3" s="8" t="s">
        <v>2</v>
      </c>
      <c r="D3" s="8" t="s">
        <v>3</v>
      </c>
      <c r="E3" s="8" t="s">
        <v>35</v>
      </c>
    </row>
    <row r="4" spans="1:9" ht="16.2" x14ac:dyDescent="0.3">
      <c r="A4" s="1" t="s">
        <v>5</v>
      </c>
      <c r="B4" s="1" t="s">
        <v>4</v>
      </c>
      <c r="C4" s="3">
        <f>Details!B11</f>
        <v>29.7</v>
      </c>
      <c r="D4" s="1">
        <f>ROUNDUP(1.1*C4,0)</f>
        <v>33</v>
      </c>
      <c r="E4" t="s">
        <v>14</v>
      </c>
    </row>
    <row r="5" spans="1:9" x14ac:dyDescent="0.3">
      <c r="A5" s="1" t="s">
        <v>6</v>
      </c>
      <c r="B5" s="1" t="s">
        <v>15</v>
      </c>
      <c r="C5" s="3">
        <f>Details!B12</f>
        <v>100</v>
      </c>
    </row>
    <row r="6" spans="1:9" x14ac:dyDescent="0.3">
      <c r="A6" s="1" t="s">
        <v>7</v>
      </c>
      <c r="B6" s="1" t="s">
        <v>8</v>
      </c>
      <c r="C6" s="4">
        <f>Details!B13</f>
        <v>0</v>
      </c>
    </row>
    <row r="8" spans="1:9" x14ac:dyDescent="0.3">
      <c r="A8" s="22" t="s">
        <v>28</v>
      </c>
      <c r="B8" s="22"/>
      <c r="C8" s="22"/>
    </row>
    <row r="9" spans="1:9" x14ac:dyDescent="0.3">
      <c r="A9" s="1" t="s">
        <v>17</v>
      </c>
      <c r="B9" s="1" t="s">
        <v>18</v>
      </c>
      <c r="C9" s="1">
        <v>2</v>
      </c>
      <c r="E9" t="s">
        <v>19</v>
      </c>
    </row>
    <row r="10" spans="1:9" ht="16.2" x14ac:dyDescent="0.3">
      <c r="A10" s="1" t="s">
        <v>20</v>
      </c>
      <c r="B10" s="1" t="s">
        <v>16</v>
      </c>
      <c r="C10" s="1">
        <f>D4/C9</f>
        <v>16.5</v>
      </c>
    </row>
    <row r="11" spans="1:9" x14ac:dyDescent="0.3">
      <c r="A11" s="1" t="s">
        <v>22</v>
      </c>
      <c r="B11" s="1" t="s">
        <v>8</v>
      </c>
      <c r="C11" s="1">
        <f>SQRT(C10*4/3.14)</f>
        <v>4.5846601052046134</v>
      </c>
    </row>
    <row r="12" spans="1:9" x14ac:dyDescent="0.3">
      <c r="A12" s="1" t="s">
        <v>21</v>
      </c>
      <c r="B12" s="1" t="s">
        <v>8</v>
      </c>
      <c r="C12" s="1">
        <v>3.5</v>
      </c>
      <c r="E12" t="s">
        <v>27</v>
      </c>
    </row>
    <row r="13" spans="1:9" x14ac:dyDescent="0.3">
      <c r="A13" s="1" t="s">
        <v>23</v>
      </c>
      <c r="C13">
        <f>ROUNDUP(C11/C12,0)</f>
        <v>2</v>
      </c>
    </row>
    <row r="14" spans="1:9" x14ac:dyDescent="0.3">
      <c r="A14" s="1" t="s">
        <v>24</v>
      </c>
      <c r="B14" s="1" t="s">
        <v>8</v>
      </c>
      <c r="C14">
        <f>IF(C13&gt;1,C12,_xlfn.XLOOKUP(C11,'Pipe Sizes'!A5:K5,'Pipe Sizes'!A5:K5,"No size Available",1))</f>
        <v>3.5</v>
      </c>
    </row>
    <row r="15" spans="1:9" x14ac:dyDescent="0.3">
      <c r="D15" s="1"/>
    </row>
    <row r="16" spans="1:9" x14ac:dyDescent="0.3">
      <c r="A16" s="22" t="s">
        <v>29</v>
      </c>
      <c r="B16" s="22"/>
      <c r="C16" s="22"/>
    </row>
    <row r="17" spans="1:5" x14ac:dyDescent="0.3">
      <c r="A17" s="1" t="s">
        <v>10</v>
      </c>
      <c r="B17" s="1" t="s">
        <v>9</v>
      </c>
      <c r="C17" s="1">
        <v>0.77</v>
      </c>
      <c r="D17" s="1"/>
      <c r="E17" t="s">
        <v>13</v>
      </c>
    </row>
    <row r="18" spans="1:5" x14ac:dyDescent="0.3">
      <c r="A18" s="1" t="s">
        <v>11</v>
      </c>
      <c r="B18" s="1"/>
      <c r="C18" s="1"/>
      <c r="D18" s="1"/>
      <c r="E18" t="s">
        <v>12</v>
      </c>
    </row>
    <row r="19" spans="1:5" x14ac:dyDescent="0.3">
      <c r="A19" s="1" t="s">
        <v>120</v>
      </c>
      <c r="B19" s="1" t="s">
        <v>8</v>
      </c>
      <c r="C19" s="1">
        <f>C6+C17*C5</f>
        <v>77</v>
      </c>
      <c r="D19" s="1">
        <f>ROUNDUP(C19,-1)</f>
        <v>80</v>
      </c>
    </row>
    <row r="21" spans="1:5" x14ac:dyDescent="0.3">
      <c r="A21" s="20" t="s">
        <v>30</v>
      </c>
      <c r="B21" s="20"/>
      <c r="C21" s="20"/>
    </row>
    <row r="22" spans="1:5" x14ac:dyDescent="0.3">
      <c r="A22" s="1" t="s">
        <v>31</v>
      </c>
      <c r="B22">
        <f>C13*3.14*C14^2/4</f>
        <v>19.232500000000002</v>
      </c>
    </row>
    <row r="23" spans="1:5" x14ac:dyDescent="0.3">
      <c r="A23" s="1" t="s">
        <v>32</v>
      </c>
      <c r="B23">
        <f>D4/B22</f>
        <v>1.7158455738983489</v>
      </c>
      <c r="E23" t="s">
        <v>33</v>
      </c>
    </row>
    <row r="24" spans="1:5" x14ac:dyDescent="0.3">
      <c r="B24" s="1" t="str">
        <f>IF(B23&lt;2,"OK","fail")</f>
        <v>OK</v>
      </c>
      <c r="C24" t="str">
        <f>IF(B24="fail","Increase the Diameter of Pipe or Increase More No. of Pipe"," ")</f>
        <v xml:space="preserve"> </v>
      </c>
    </row>
    <row r="26" spans="1:5" x14ac:dyDescent="0.3">
      <c r="A26" s="22" t="s">
        <v>36</v>
      </c>
      <c r="B26" s="22"/>
      <c r="C26" s="22"/>
      <c r="D26" s="2"/>
    </row>
    <row r="27" spans="1:5" x14ac:dyDescent="0.3">
      <c r="A27" s="2" t="s">
        <v>59</v>
      </c>
    </row>
    <row r="28" spans="1:5" x14ac:dyDescent="0.3">
      <c r="A28" t="s">
        <v>37</v>
      </c>
      <c r="B28" s="1" t="s">
        <v>39</v>
      </c>
      <c r="C28" s="1">
        <v>2500</v>
      </c>
    </row>
    <row r="29" spans="1:5" x14ac:dyDescent="0.3">
      <c r="A29" t="s">
        <v>38</v>
      </c>
      <c r="B29" s="1" t="s">
        <v>39</v>
      </c>
      <c r="C29" s="3">
        <f>Details!B15</f>
        <v>25</v>
      </c>
    </row>
    <row r="30" spans="1:5" x14ac:dyDescent="0.3">
      <c r="A30" t="s">
        <v>40</v>
      </c>
      <c r="B30" s="1" t="s">
        <v>39</v>
      </c>
      <c r="C30" s="1">
        <f>Details!B16</f>
        <v>0</v>
      </c>
      <c r="E30" t="s">
        <v>41</v>
      </c>
    </row>
    <row r="31" spans="1:5" x14ac:dyDescent="0.3">
      <c r="A31" t="s">
        <v>44</v>
      </c>
      <c r="B31" s="1" t="s">
        <v>39</v>
      </c>
      <c r="C31" s="1">
        <f>Details!B17</f>
        <v>0</v>
      </c>
      <c r="E31" t="s">
        <v>41</v>
      </c>
    </row>
    <row r="32" spans="1:5" x14ac:dyDescent="0.3">
      <c r="A32" t="s">
        <v>42</v>
      </c>
      <c r="B32" s="1" t="s">
        <v>39</v>
      </c>
      <c r="C32" s="1">
        <f>C28+2*C29</f>
        <v>2550</v>
      </c>
    </row>
    <row r="33" spans="1:5" x14ac:dyDescent="0.3">
      <c r="A33" t="s">
        <v>43</v>
      </c>
      <c r="B33" s="1" t="s">
        <v>39</v>
      </c>
      <c r="C33" s="1">
        <f>C28+2*C29+2*C31</f>
        <v>2550</v>
      </c>
    </row>
    <row r="34" spans="1:5" x14ac:dyDescent="0.3">
      <c r="A34" t="s">
        <v>45</v>
      </c>
      <c r="B34" s="1" t="s">
        <v>46</v>
      </c>
      <c r="C34" s="1">
        <v>225</v>
      </c>
      <c r="E34" t="s">
        <v>47</v>
      </c>
    </row>
    <row r="35" spans="1:5" ht="28.8" x14ac:dyDescent="0.3">
      <c r="A35" s="9" t="s">
        <v>48</v>
      </c>
      <c r="B35" s="10" t="s">
        <v>46</v>
      </c>
      <c r="C35" s="1">
        <v>123.7</v>
      </c>
      <c r="E35" s="12" t="s">
        <v>54</v>
      </c>
    </row>
    <row r="36" spans="1:5" ht="16.2" x14ac:dyDescent="0.3">
      <c r="A36" t="s">
        <v>124</v>
      </c>
      <c r="B36" s="1" t="s">
        <v>49</v>
      </c>
      <c r="C36" s="3">
        <v>1.8</v>
      </c>
    </row>
    <row r="37" spans="1:5" x14ac:dyDescent="0.3">
      <c r="A37" s="13" t="s">
        <v>50</v>
      </c>
      <c r="B37" s="1" t="s">
        <v>51</v>
      </c>
      <c r="C37" s="3">
        <v>30</v>
      </c>
      <c r="E37" t="s">
        <v>52</v>
      </c>
    </row>
    <row r="38" spans="1:5" ht="15.6" x14ac:dyDescent="0.35">
      <c r="A38" t="s">
        <v>53</v>
      </c>
      <c r="B38" s="1" t="s">
        <v>39</v>
      </c>
      <c r="C38" s="1">
        <f>2.5*C32</f>
        <v>6375</v>
      </c>
      <c r="E38" t="s">
        <v>127</v>
      </c>
    </row>
    <row r="39" spans="1:5" x14ac:dyDescent="0.3">
      <c r="A39" t="s">
        <v>55</v>
      </c>
      <c r="B39" s="1" t="s">
        <v>56</v>
      </c>
      <c r="C39" s="3">
        <v>90</v>
      </c>
    </row>
    <row r="40" spans="1:5" x14ac:dyDescent="0.3">
      <c r="A40" t="s">
        <v>57</v>
      </c>
      <c r="B40" s="1" t="s">
        <v>39</v>
      </c>
      <c r="C40" s="1">
        <f>C5*1000</f>
        <v>100000</v>
      </c>
    </row>
    <row r="42" spans="1:5" x14ac:dyDescent="0.3">
      <c r="A42" s="2" t="s">
        <v>58</v>
      </c>
    </row>
    <row r="43" spans="1:5" x14ac:dyDescent="0.3">
      <c r="A43" t="s">
        <v>60</v>
      </c>
      <c r="C43" s="3" t="str">
        <f>Details!B19</f>
        <v>Fe-410</v>
      </c>
      <c r="E43" t="s">
        <v>61</v>
      </c>
    </row>
    <row r="44" spans="1:5" ht="16.2" x14ac:dyDescent="0.3">
      <c r="A44" t="s">
        <v>84</v>
      </c>
      <c r="B44" s="1" t="s">
        <v>85</v>
      </c>
      <c r="C44" s="1">
        <f>_xlfn.XLOOKUP(C43,'Grade of steel'!A4:A12,'Grade of steel'!D4:D12)*10</f>
        <v>2500</v>
      </c>
    </row>
    <row r="45" spans="1:5" ht="28.8" x14ac:dyDescent="0.3">
      <c r="A45" s="14" t="s">
        <v>86</v>
      </c>
      <c r="B45" s="10" t="s">
        <v>85</v>
      </c>
      <c r="C45" s="1">
        <f>0.5*C44</f>
        <v>1250</v>
      </c>
      <c r="E45" t="s">
        <v>89</v>
      </c>
    </row>
    <row r="46" spans="1:5" ht="28.8" x14ac:dyDescent="0.3">
      <c r="A46" s="9" t="s">
        <v>87</v>
      </c>
      <c r="B46" s="10" t="s">
        <v>85</v>
      </c>
      <c r="C46" s="1">
        <f>0.6*C44</f>
        <v>1500</v>
      </c>
      <c r="E46" t="s">
        <v>90</v>
      </c>
    </row>
    <row r="47" spans="1:5" ht="16.2" x14ac:dyDescent="0.3">
      <c r="A47" t="s">
        <v>88</v>
      </c>
      <c r="B47" s="1" t="s">
        <v>98</v>
      </c>
      <c r="C47" s="16">
        <f>Details!B20</f>
        <v>2100000</v>
      </c>
    </row>
    <row r="48" spans="1:5" ht="16.2" x14ac:dyDescent="0.3">
      <c r="A48" t="s">
        <v>91</v>
      </c>
      <c r="B48" s="1" t="s">
        <v>97</v>
      </c>
      <c r="C48" s="3">
        <f>Details!B21</f>
        <v>0</v>
      </c>
    </row>
    <row r="49" spans="1:5" ht="16.2" x14ac:dyDescent="0.3">
      <c r="A49" t="s">
        <v>92</v>
      </c>
      <c r="B49" s="1" t="s">
        <v>97</v>
      </c>
      <c r="C49" s="16">
        <f>Details!B22</f>
        <v>357000</v>
      </c>
    </row>
    <row r="50" spans="1:5" ht="28.8" x14ac:dyDescent="0.3">
      <c r="A50" s="9" t="s">
        <v>93</v>
      </c>
      <c r="B50" s="1" t="s">
        <v>39</v>
      </c>
      <c r="C50" s="1">
        <f>0.02*C28</f>
        <v>50</v>
      </c>
      <c r="E50" t="s">
        <v>94</v>
      </c>
    </row>
    <row r="51" spans="1:5" ht="16.2" x14ac:dyDescent="0.3">
      <c r="A51" t="s">
        <v>95</v>
      </c>
      <c r="B51" s="1" t="s">
        <v>96</v>
      </c>
      <c r="C51" s="1">
        <f>C36*1000</f>
        <v>1800</v>
      </c>
    </row>
    <row r="52" spans="1:5" x14ac:dyDescent="0.3">
      <c r="A52" t="s">
        <v>99</v>
      </c>
      <c r="B52" s="1" t="s">
        <v>8</v>
      </c>
      <c r="C52" s="1">
        <v>1.5</v>
      </c>
      <c r="E52" t="s">
        <v>100</v>
      </c>
    </row>
    <row r="53" spans="1:5" x14ac:dyDescent="0.3">
      <c r="A53" s="19" t="s">
        <v>101</v>
      </c>
      <c r="B53" s="1" t="s">
        <v>46</v>
      </c>
      <c r="C53" s="1">
        <v>10</v>
      </c>
      <c r="E53" t="s">
        <v>102</v>
      </c>
    </row>
    <row r="54" spans="1:5" ht="16.2" x14ac:dyDescent="0.3">
      <c r="A54" s="19"/>
      <c r="B54" s="1" t="s">
        <v>85</v>
      </c>
      <c r="C54" s="1">
        <f>C53/10</f>
        <v>1</v>
      </c>
    </row>
    <row r="55" spans="1:5" x14ac:dyDescent="0.3">
      <c r="C55" s="1"/>
    </row>
    <row r="56" spans="1:5" x14ac:dyDescent="0.3">
      <c r="A56" s="2" t="s">
        <v>103</v>
      </c>
      <c r="C56" s="1"/>
    </row>
    <row r="57" spans="1:5" x14ac:dyDescent="0.3">
      <c r="A57" s="19" t="s">
        <v>104</v>
      </c>
      <c r="B57" s="1" t="s">
        <v>46</v>
      </c>
      <c r="C57" s="1">
        <f>C35</f>
        <v>123.7</v>
      </c>
    </row>
    <row r="58" spans="1:5" ht="16.2" x14ac:dyDescent="0.3">
      <c r="A58" s="19"/>
      <c r="B58" s="1" t="s">
        <v>85</v>
      </c>
      <c r="C58" s="1">
        <f>C57/10</f>
        <v>12.370000000000001</v>
      </c>
    </row>
    <row r="59" spans="1:5" ht="40.200000000000003" customHeight="1" x14ac:dyDescent="0.3">
      <c r="A59" s="11" t="s">
        <v>106</v>
      </c>
      <c r="C59" s="1"/>
      <c r="E59" s="15" t="s">
        <v>105</v>
      </c>
    </row>
    <row r="60" spans="1:5" x14ac:dyDescent="0.3">
      <c r="A60" t="s">
        <v>107</v>
      </c>
      <c r="C60" s="1"/>
    </row>
    <row r="61" spans="1:5" ht="14.4" customHeight="1" x14ac:dyDescent="0.3">
      <c r="A61" t="s">
        <v>108</v>
      </c>
      <c r="B61" s="1" t="s">
        <v>85</v>
      </c>
      <c r="C61" s="1">
        <f>C58</f>
        <v>12.370000000000001</v>
      </c>
    </row>
    <row r="62" spans="1:5" x14ac:dyDescent="0.3">
      <c r="A62" t="s">
        <v>109</v>
      </c>
      <c r="B62" s="1" t="s">
        <v>110</v>
      </c>
      <c r="C62" s="1">
        <f>C32/10</f>
        <v>255</v>
      </c>
    </row>
    <row r="63" spans="1:5" x14ac:dyDescent="0.3">
      <c r="A63" t="s">
        <v>111</v>
      </c>
      <c r="C63" s="3">
        <v>0.6</v>
      </c>
      <c r="E63" t="s">
        <v>115</v>
      </c>
    </row>
    <row r="64" spans="1:5" ht="16.2" x14ac:dyDescent="0.3">
      <c r="A64" t="s">
        <v>112</v>
      </c>
      <c r="B64" s="1" t="s">
        <v>85</v>
      </c>
      <c r="C64" s="1">
        <f>C44</f>
        <v>2500</v>
      </c>
    </row>
    <row r="65" spans="1:5" x14ac:dyDescent="0.3">
      <c r="A65" t="s">
        <v>113</v>
      </c>
      <c r="C65" s="3" t="str">
        <f>Details!B24</f>
        <v>Field Welding</v>
      </c>
    </row>
    <row r="66" spans="1:5" x14ac:dyDescent="0.3">
      <c r="A66" t="s">
        <v>116</v>
      </c>
      <c r="C66" s="1">
        <f>IF(C65="Shop Welding",0.9,0.8)</f>
        <v>0.8</v>
      </c>
      <c r="E66" t="s">
        <v>202</v>
      </c>
    </row>
    <row r="68" spans="1:5" x14ac:dyDescent="0.3">
      <c r="A68" s="20" t="s">
        <v>119</v>
      </c>
      <c r="B68" s="20"/>
      <c r="C68" s="20"/>
    </row>
    <row r="69" spans="1:5" x14ac:dyDescent="0.3">
      <c r="A69" s="19" t="s">
        <v>117</v>
      </c>
      <c r="B69" s="1" t="s">
        <v>110</v>
      </c>
      <c r="C69" s="1">
        <f>C61*C62/(2*C63*C64*C66+C61)</f>
        <v>1.3075730505685284</v>
      </c>
    </row>
    <row r="70" spans="1:5" x14ac:dyDescent="0.3">
      <c r="A70" s="19"/>
      <c r="B70" s="1" t="s">
        <v>39</v>
      </c>
      <c r="C70" s="1">
        <f>C69*10</f>
        <v>13.075730505685284</v>
      </c>
    </row>
    <row r="71" spans="1:5" x14ac:dyDescent="0.3">
      <c r="A71" t="s">
        <v>118</v>
      </c>
      <c r="B71" s="1" t="s">
        <v>39</v>
      </c>
      <c r="C71" s="1">
        <f>C29</f>
        <v>25</v>
      </c>
    </row>
    <row r="72" spans="1:5" x14ac:dyDescent="0.3">
      <c r="B72" s="1"/>
      <c r="C72" t="str">
        <f>IF(C71&gt;C70,"OK","Fail")</f>
        <v>OK</v>
      </c>
      <c r="D72" t="str">
        <f>IF(C72="fail", "Increase Assumed Thickness of Pipe"," ")</f>
        <v xml:space="preserve"> </v>
      </c>
    </row>
    <row r="73" spans="1:5" ht="15.6" x14ac:dyDescent="0.3">
      <c r="A73" s="31" t="s">
        <v>176</v>
      </c>
      <c r="B73" s="1"/>
    </row>
    <row r="74" spans="1:5" x14ac:dyDescent="0.3">
      <c r="A74" s="2" t="s">
        <v>149</v>
      </c>
      <c r="B74" s="1"/>
    </row>
    <row r="75" spans="1:5" x14ac:dyDescent="0.3">
      <c r="A75" s="2" t="s">
        <v>121</v>
      </c>
      <c r="B75" s="1"/>
    </row>
    <row r="76" spans="1:5" ht="15.6" x14ac:dyDescent="0.35">
      <c r="A76" t="s">
        <v>137</v>
      </c>
      <c r="B76" s="1" t="s">
        <v>39</v>
      </c>
      <c r="C76">
        <f>C33</f>
        <v>2550</v>
      </c>
      <c r="E76" s="12" t="s">
        <v>54</v>
      </c>
    </row>
    <row r="77" spans="1:5" ht="15.6" x14ac:dyDescent="0.35">
      <c r="A77" t="s">
        <v>122</v>
      </c>
      <c r="B77" s="1" t="s">
        <v>39</v>
      </c>
      <c r="C77">
        <f>C38</f>
        <v>6375</v>
      </c>
    </row>
    <row r="78" spans="1:5" x14ac:dyDescent="0.3">
      <c r="A78" t="s">
        <v>99</v>
      </c>
      <c r="B78" s="1" t="s">
        <v>39</v>
      </c>
      <c r="C78">
        <f>C52*1000</f>
        <v>1500</v>
      </c>
    </row>
    <row r="79" spans="1:5" ht="15.6" x14ac:dyDescent="0.35">
      <c r="A79" t="s">
        <v>123</v>
      </c>
      <c r="B79" s="1"/>
      <c r="C79">
        <f>C78/C77</f>
        <v>0.23529411764705882</v>
      </c>
    </row>
    <row r="80" spans="1:5" x14ac:dyDescent="0.3">
      <c r="A80" t="s">
        <v>125</v>
      </c>
      <c r="B80" s="1"/>
      <c r="C80">
        <f>_xlfn.XLOOKUP(C79,'Load co-efficient Cd'!A4:A28,'Load co-efficient Cd'!C4:C28,"Fis H and Bd",1)</f>
        <v>0.46100000000000002</v>
      </c>
      <c r="E80" t="s">
        <v>126</v>
      </c>
    </row>
    <row r="81" spans="1:5" ht="16.2" x14ac:dyDescent="0.3">
      <c r="A81" t="s">
        <v>124</v>
      </c>
      <c r="B81" s="1" t="s">
        <v>96</v>
      </c>
      <c r="C81">
        <f>C51</f>
        <v>1800</v>
      </c>
      <c r="E81" t="s">
        <v>138</v>
      </c>
    </row>
    <row r="82" spans="1:5" ht="28.8" x14ac:dyDescent="0.3">
      <c r="A82" s="9" t="s">
        <v>136</v>
      </c>
      <c r="B82" s="1"/>
    </row>
    <row r="83" spans="1:5" x14ac:dyDescent="0.3">
      <c r="A83" t="s">
        <v>139</v>
      </c>
      <c r="B83" s="1" t="s">
        <v>140</v>
      </c>
      <c r="C83">
        <f>C80*C81*C76*C77/1000000</f>
        <v>13489.436250000001</v>
      </c>
      <c r="D83">
        <f>ROUNDUP(C83,0)</f>
        <v>13490</v>
      </c>
    </row>
    <row r="84" spans="1:5" x14ac:dyDescent="0.3">
      <c r="B84" s="1"/>
    </row>
    <row r="85" spans="1:5" x14ac:dyDescent="0.3">
      <c r="B85" s="1"/>
    </row>
    <row r="86" spans="1:5" x14ac:dyDescent="0.3">
      <c r="B86" s="1"/>
    </row>
    <row r="87" spans="1:5" x14ac:dyDescent="0.3">
      <c r="B87" s="1"/>
    </row>
    <row r="88" spans="1:5" x14ac:dyDescent="0.3">
      <c r="B88" s="1"/>
    </row>
    <row r="89" spans="1:5" x14ac:dyDescent="0.3">
      <c r="B89" s="1"/>
    </row>
    <row r="90" spans="1:5" x14ac:dyDescent="0.3">
      <c r="A90" s="2" t="s">
        <v>141</v>
      </c>
      <c r="B90" s="1"/>
    </row>
    <row r="91" spans="1:5" x14ac:dyDescent="0.3">
      <c r="A91" t="s">
        <v>142</v>
      </c>
      <c r="B91" s="1" t="s">
        <v>140</v>
      </c>
      <c r="C91">
        <f>3.14*(C28/1000+C29/1000)*C29/1000*7850</f>
        <v>1555.9681249999999</v>
      </c>
    </row>
    <row r="92" spans="1:5" x14ac:dyDescent="0.3">
      <c r="A92" t="s">
        <v>143</v>
      </c>
      <c r="B92" s="1" t="s">
        <v>140</v>
      </c>
      <c r="C92">
        <v>0</v>
      </c>
    </row>
    <row r="93" spans="1:5" x14ac:dyDescent="0.3">
      <c r="A93" t="s">
        <v>144</v>
      </c>
      <c r="B93" s="1" t="s">
        <v>140</v>
      </c>
      <c r="C93">
        <v>0</v>
      </c>
    </row>
    <row r="94" spans="1:5" x14ac:dyDescent="0.3">
      <c r="A94" t="s">
        <v>145</v>
      </c>
      <c r="B94" s="1" t="s">
        <v>140</v>
      </c>
      <c r="C94">
        <f>3.15*(C28/1000)^2/4*1000</f>
        <v>4921.875</v>
      </c>
    </row>
    <row r="95" spans="1:5" x14ac:dyDescent="0.3">
      <c r="A95" t="s">
        <v>159</v>
      </c>
      <c r="B95" s="1"/>
      <c r="C95">
        <v>2</v>
      </c>
      <c r="E95" t="s">
        <v>158</v>
      </c>
    </row>
    <row r="96" spans="1:5" x14ac:dyDescent="0.3">
      <c r="A96" t="s">
        <v>146</v>
      </c>
      <c r="B96" s="1" t="s">
        <v>140</v>
      </c>
      <c r="C96">
        <f>(C91+C92+C93+C94)/C95</f>
        <v>3238.9215624999997</v>
      </c>
      <c r="D96">
        <f>ROUNDUP(C96,0)</f>
        <v>3239</v>
      </c>
    </row>
    <row r="97" spans="1:5" x14ac:dyDescent="0.3">
      <c r="B97" s="1"/>
    </row>
    <row r="98" spans="1:5" x14ac:dyDescent="0.3">
      <c r="A98" s="19" t="s">
        <v>147</v>
      </c>
      <c r="B98" s="1" t="s">
        <v>140</v>
      </c>
      <c r="C98">
        <f>D83+D96</f>
        <v>16729</v>
      </c>
    </row>
    <row r="99" spans="1:5" x14ac:dyDescent="0.3">
      <c r="A99" s="19"/>
      <c r="B99" s="1" t="s">
        <v>148</v>
      </c>
      <c r="C99">
        <f>C98/100</f>
        <v>167.29</v>
      </c>
      <c r="D99" s="13">
        <f>ROUNDUP(C99,-1)</f>
        <v>170</v>
      </c>
      <c r="E99" t="s">
        <v>195</v>
      </c>
    </row>
    <row r="100" spans="1:5" x14ac:dyDescent="0.3">
      <c r="B100" s="1"/>
    </row>
    <row r="101" spans="1:5" x14ac:dyDescent="0.3">
      <c r="A101" s="2" t="s">
        <v>150</v>
      </c>
      <c r="B101" s="1"/>
    </row>
    <row r="102" spans="1:5" x14ac:dyDescent="0.3">
      <c r="A102" t="s">
        <v>151</v>
      </c>
      <c r="B102" s="1" t="s">
        <v>51</v>
      </c>
      <c r="C102" s="35">
        <f>Details!B26</f>
        <v>180</v>
      </c>
      <c r="E102" s="12"/>
    </row>
    <row r="103" spans="1:5" x14ac:dyDescent="0.3">
      <c r="A103" t="s">
        <v>152</v>
      </c>
      <c r="B103" s="1"/>
      <c r="C103">
        <v>1</v>
      </c>
      <c r="E103" s="26" t="s">
        <v>154</v>
      </c>
    </row>
    <row r="104" spans="1:5" x14ac:dyDescent="0.3">
      <c r="A104" t="s">
        <v>153</v>
      </c>
      <c r="B104" s="1" t="s">
        <v>51</v>
      </c>
      <c r="C104" s="35">
        <f>Details!B27</f>
        <v>30</v>
      </c>
    </row>
    <row r="105" spans="1:5" ht="15.6" x14ac:dyDescent="0.35">
      <c r="A105" t="s">
        <v>170</v>
      </c>
      <c r="B105" s="1"/>
      <c r="C105">
        <f>IF(C102=180,_xlfn.XLOOKUP(C104,'CWC and IWWA Tables'!B13:B19,'CWC and IWWA Tables'!F13:F19,"Error: Change Load Spread or Bedding angle",1),IF(Calculations!C102=0,_xlfn.XLOOKUP(Calculations!C104,'CWC and IWWA Tables'!B4:B10,'CWC and IWWA Tables'!F4:F10,"Error: Change Load spread angle Bedding Angle ",1)))</f>
        <v>0.108</v>
      </c>
      <c r="E105" t="s">
        <v>187</v>
      </c>
    </row>
    <row r="106" spans="1:5" x14ac:dyDescent="0.3">
      <c r="A106" t="s">
        <v>155</v>
      </c>
      <c r="B106" s="1" t="s">
        <v>148</v>
      </c>
      <c r="C106">
        <f>D99</f>
        <v>170</v>
      </c>
    </row>
    <row r="107" spans="1:5" x14ac:dyDescent="0.3">
      <c r="A107" s="19" t="s">
        <v>156</v>
      </c>
      <c r="B107" s="1" t="s">
        <v>8</v>
      </c>
      <c r="C107">
        <f>C28/2/1000</f>
        <v>1.25</v>
      </c>
    </row>
    <row r="108" spans="1:5" x14ac:dyDescent="0.3">
      <c r="A108" s="19"/>
      <c r="B108" s="1" t="s">
        <v>110</v>
      </c>
      <c r="C108">
        <f>C107*100</f>
        <v>125</v>
      </c>
    </row>
    <row r="109" spans="1:5" ht="16.2" x14ac:dyDescent="0.3">
      <c r="A109" t="s">
        <v>88</v>
      </c>
      <c r="B109" s="1" t="s">
        <v>85</v>
      </c>
      <c r="C109" s="28">
        <f>C47</f>
        <v>2100000</v>
      </c>
    </row>
    <row r="110" spans="1:5" ht="28.8" x14ac:dyDescent="0.3">
      <c r="A110" s="9" t="s">
        <v>157</v>
      </c>
      <c r="B110" s="1" t="s">
        <v>160</v>
      </c>
      <c r="C110">
        <f>(C29^3/12)/1000</f>
        <v>1.3020833333333333</v>
      </c>
      <c r="E110" t="s">
        <v>163</v>
      </c>
    </row>
    <row r="111" spans="1:5" x14ac:dyDescent="0.3">
      <c r="A111" t="s">
        <v>161</v>
      </c>
      <c r="B111" s="1" t="s">
        <v>56</v>
      </c>
      <c r="C111">
        <v>90</v>
      </c>
    </row>
    <row r="112" spans="1:5" ht="16.2" x14ac:dyDescent="0.3">
      <c r="A112" t="s">
        <v>162</v>
      </c>
      <c r="B112" s="1" t="s">
        <v>85</v>
      </c>
      <c r="C112" s="35">
        <f>Details!B28</f>
        <v>80</v>
      </c>
    </row>
    <row r="113" spans="1:5" ht="16.2" x14ac:dyDescent="0.3">
      <c r="A113" t="s">
        <v>164</v>
      </c>
      <c r="B113" s="1" t="s">
        <v>85</v>
      </c>
      <c r="C113">
        <v>0.2</v>
      </c>
      <c r="E113" t="s">
        <v>165</v>
      </c>
    </row>
    <row r="114" spans="1:5" ht="16.2" x14ac:dyDescent="0.3">
      <c r="A114" t="s">
        <v>166</v>
      </c>
      <c r="B114" s="1" t="s">
        <v>85</v>
      </c>
      <c r="C114">
        <f>C61</f>
        <v>12.370000000000001</v>
      </c>
    </row>
    <row r="115" spans="1:5" x14ac:dyDescent="0.3">
      <c r="A115" t="s">
        <v>169</v>
      </c>
      <c r="B115" s="1" t="s">
        <v>110</v>
      </c>
      <c r="C115">
        <f>0.02*C32/10</f>
        <v>5.0999999999999996</v>
      </c>
    </row>
    <row r="117" spans="1:5" x14ac:dyDescent="0.3">
      <c r="A117" s="2" t="s">
        <v>167</v>
      </c>
    </row>
    <row r="118" spans="1:5" ht="42.6" customHeight="1" x14ac:dyDescent="0.3">
      <c r="E118" t="s">
        <v>168</v>
      </c>
    </row>
    <row r="120" spans="1:5" ht="15.6" x14ac:dyDescent="0.35">
      <c r="A120" t="s">
        <v>174</v>
      </c>
      <c r="B120" t="s">
        <v>110</v>
      </c>
      <c r="C120" s="29">
        <f>(C103*C105*C106*C108^3)/(C109*C110+0.061*C112*C108^3-2*C113*C105*C108^3)</f>
        <v>2.943817342226783</v>
      </c>
    </row>
    <row r="122" spans="1:5" x14ac:dyDescent="0.3">
      <c r="A122" s="30" t="s">
        <v>171</v>
      </c>
      <c r="C122" t="str">
        <f>IF(C120&lt;C115,"OK","Fail")</f>
        <v>OK</v>
      </c>
      <c r="D122" t="str">
        <f>IF(C122="fail", "Increase Assumed Thickness of Pipe"," ")</f>
        <v xml:space="preserve"> </v>
      </c>
    </row>
    <row r="124" spans="1:5" x14ac:dyDescent="0.3">
      <c r="A124" s="2" t="s">
        <v>172</v>
      </c>
    </row>
    <row r="125" spans="1:5" ht="31.2" customHeight="1" x14ac:dyDescent="0.3"/>
    <row r="127" spans="1:5" ht="15.6" x14ac:dyDescent="0.35">
      <c r="A127" t="s">
        <v>173</v>
      </c>
      <c r="B127" s="1" t="s">
        <v>110</v>
      </c>
      <c r="C127" s="28">
        <f>(C103*C105*C106*C108^3)/(C109*C110+0.061*C112*C108^3+2*C114*C105*C108^3)</f>
        <v>2.0509566662794128</v>
      </c>
    </row>
    <row r="129" spans="1:5" x14ac:dyDescent="0.3">
      <c r="A129" s="30" t="s">
        <v>175</v>
      </c>
      <c r="C129" t="str">
        <f>IF(C127&lt;C115,"OK", "Fail")</f>
        <v>OK</v>
      </c>
      <c r="D129" t="str">
        <f>IF(C129="fail", "Increase Assumed Thickness of Pipe"," ")</f>
        <v xml:space="preserve"> </v>
      </c>
    </row>
    <row r="131" spans="1:5" ht="15.6" x14ac:dyDescent="0.3">
      <c r="A131" s="31" t="s">
        <v>177</v>
      </c>
    </row>
    <row r="132" spans="1:5" ht="40.200000000000003" customHeight="1" x14ac:dyDescent="0.3">
      <c r="A132" s="15" t="s">
        <v>178</v>
      </c>
    </row>
    <row r="133" spans="1:5" ht="15.6" x14ac:dyDescent="0.35">
      <c r="A133" t="s">
        <v>186</v>
      </c>
      <c r="C133">
        <f>IF(C102=180,_xlfn.XLOOKUP(C104,'CWC and IWWA Tables'!B13:B19,'CWC and IWWA Tables'!C13:C19,"Error: Change Load Spread or Bedding angle",1),IF(Calculations!C102=0,_xlfn.XLOOKUP(Calculations!C104,'CWC and IWWA Tables'!B4:B10,'CWC and IWWA Tables'!C4:C10,"Error: Change Load spread angle Bedding Angle ",1)))</f>
        <v>0.23499999999999999</v>
      </c>
      <c r="E133" t="s">
        <v>187</v>
      </c>
    </row>
    <row r="134" spans="1:5" x14ac:dyDescent="0.3">
      <c r="A134" t="s">
        <v>188</v>
      </c>
      <c r="B134" s="1" t="s">
        <v>189</v>
      </c>
      <c r="C134" s="29">
        <f>(C133*C106*C108*C109*C110)/(C109*C110+0.061*C112*C108^3-2*C113*C105*C108^3)</f>
        <v>1120.9674833247816</v>
      </c>
    </row>
    <row r="135" spans="1:5" ht="16.8" x14ac:dyDescent="0.35">
      <c r="A135" t="s">
        <v>190</v>
      </c>
      <c r="B135" s="1" t="s">
        <v>85</v>
      </c>
      <c r="C135">
        <f>(C134*6)/(C29/10)^2</f>
        <v>1076.1287839917902</v>
      </c>
      <c r="E135" t="s">
        <v>191</v>
      </c>
    </row>
    <row r="136" spans="1:5" ht="16.8" x14ac:dyDescent="0.35">
      <c r="A136" t="s">
        <v>192</v>
      </c>
      <c r="B136" s="1" t="s">
        <v>85</v>
      </c>
      <c r="C136">
        <f>C113*(C28/10)/(2*(C29/10))</f>
        <v>10</v>
      </c>
      <c r="E136" t="s">
        <v>193</v>
      </c>
    </row>
    <row r="137" spans="1:5" ht="16.2" x14ac:dyDescent="0.3">
      <c r="A137" t="s">
        <v>194</v>
      </c>
      <c r="B137" s="1" t="s">
        <v>85</v>
      </c>
      <c r="C137">
        <f>C136+C135</f>
        <v>1086.1287839917902</v>
      </c>
    </row>
    <row r="139" spans="1:5" x14ac:dyDescent="0.3">
      <c r="A139" s="30" t="s">
        <v>196</v>
      </c>
      <c r="C139" t="str">
        <f>IF(C137&lt;C45,"OK","Fail")</f>
        <v>OK</v>
      </c>
    </row>
    <row r="141" spans="1:5" ht="18" x14ac:dyDescent="0.35">
      <c r="A141" s="34" t="s">
        <v>197</v>
      </c>
    </row>
    <row r="142" spans="1:5" ht="43.2" customHeight="1" x14ac:dyDescent="0.3">
      <c r="A142" s="11" t="s">
        <v>198</v>
      </c>
    </row>
    <row r="143" spans="1:5" ht="16.8" x14ac:dyDescent="0.35">
      <c r="A143" t="s">
        <v>199</v>
      </c>
      <c r="B143" s="1" t="s">
        <v>85</v>
      </c>
      <c r="C143" s="29">
        <f>(C133*C106*C108*C109*C29/10)/(2*(C109*C110+0.061*C112*C108^3+2*C114*C105*C108^3))</f>
        <v>749.73860356214061</v>
      </c>
    </row>
    <row r="144" spans="1:5" ht="16.8" x14ac:dyDescent="0.35">
      <c r="A144" t="s">
        <v>192</v>
      </c>
      <c r="B144" s="1" t="s">
        <v>85</v>
      </c>
      <c r="C144">
        <f>(C114*C28/10)/(2*C29/10)</f>
        <v>618.50000000000011</v>
      </c>
    </row>
    <row r="145" spans="1:3" ht="16.8" x14ac:dyDescent="0.35">
      <c r="A145" t="s">
        <v>200</v>
      </c>
      <c r="B145" s="1" t="s">
        <v>85</v>
      </c>
      <c r="C145">
        <f>C143+C144</f>
        <v>1368.2386035621407</v>
      </c>
    </row>
    <row r="147" spans="1:3" x14ac:dyDescent="0.3">
      <c r="A147" s="30" t="s">
        <v>201</v>
      </c>
      <c r="C147" t="str">
        <f>IF(C145&lt;C46,"OK","Fail")</f>
        <v>OK</v>
      </c>
    </row>
  </sheetData>
  <mergeCells count="11">
    <mergeCell ref="A107:A108"/>
    <mergeCell ref="A1:I1"/>
    <mergeCell ref="A8:C8"/>
    <mergeCell ref="A16:C16"/>
    <mergeCell ref="A21:C21"/>
    <mergeCell ref="A26:C26"/>
    <mergeCell ref="A98:A99"/>
    <mergeCell ref="A53:A54"/>
    <mergeCell ref="A57:A58"/>
    <mergeCell ref="A68:C68"/>
    <mergeCell ref="A69:A70"/>
  </mergeCells>
  <conditionalFormatting sqref="B24">
    <cfRule type="cellIs" dxfId="23" priority="11" operator="equal">
      <formula>"FAIL"</formula>
    </cfRule>
    <cfRule type="cellIs" dxfId="22" priority="12" operator="equal">
      <formula>"OK"</formula>
    </cfRule>
  </conditionalFormatting>
  <conditionalFormatting sqref="C72">
    <cfRule type="cellIs" dxfId="21" priority="9" operator="equal">
      <formula>"fail"</formula>
    </cfRule>
    <cfRule type="cellIs" dxfId="20" priority="10" operator="equal">
      <formula>"OK"</formula>
    </cfRule>
  </conditionalFormatting>
  <conditionalFormatting sqref="C122">
    <cfRule type="cellIs" dxfId="19" priority="7" operator="equal">
      <formula>"OK"</formula>
    </cfRule>
    <cfRule type="cellIs" dxfId="18" priority="8" operator="equal">
      <formula>"Fail"</formula>
    </cfRule>
  </conditionalFormatting>
  <conditionalFormatting sqref="C129">
    <cfRule type="cellIs" dxfId="17" priority="5" operator="equal">
      <formula>"Fail"</formula>
    </cfRule>
    <cfRule type="cellIs" dxfId="16" priority="6" operator="equal">
      <formula>"OK"</formula>
    </cfRule>
  </conditionalFormatting>
  <conditionalFormatting sqref="C139">
    <cfRule type="cellIs" dxfId="15" priority="3" operator="equal">
      <formula>"Fail"</formula>
    </cfRule>
    <cfRule type="cellIs" dxfId="14" priority="4" operator="equal">
      <formula>"OK"</formula>
    </cfRule>
  </conditionalFormatting>
  <conditionalFormatting sqref="C147">
    <cfRule type="cellIs" dxfId="13" priority="1" operator="equal">
      <formula>"Fail"</formula>
    </cfRule>
    <cfRule type="cellIs" dxfId="12" priority="2" operator="equal">
      <formula>"OK"</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983E-680E-4777-B790-C773033D0939}">
  <dimension ref="A2:K5"/>
  <sheetViews>
    <sheetView workbookViewId="0">
      <selection activeCell="E13" sqref="E13"/>
    </sheetView>
  </sheetViews>
  <sheetFormatPr defaultRowHeight="14.4" x14ac:dyDescent="0.3"/>
  <sheetData>
    <row r="2" spans="1:11" ht="23.4" x14ac:dyDescent="0.45">
      <c r="A2" s="7" t="s">
        <v>26</v>
      </c>
    </row>
    <row r="4" spans="1:11" x14ac:dyDescent="0.3">
      <c r="A4" s="23" t="s">
        <v>25</v>
      </c>
      <c r="B4" s="23"/>
      <c r="C4" s="23"/>
      <c r="D4" s="23"/>
    </row>
    <row r="5" spans="1:11" x14ac:dyDescent="0.3">
      <c r="A5" s="6">
        <v>0.5</v>
      </c>
      <c r="B5" s="6">
        <v>0.6</v>
      </c>
      <c r="C5" s="6">
        <v>0.8</v>
      </c>
      <c r="D5" s="6">
        <v>1</v>
      </c>
      <c r="E5" s="6">
        <v>1.2</v>
      </c>
      <c r="F5" s="6">
        <v>1.4</v>
      </c>
      <c r="G5" s="6">
        <v>1.6</v>
      </c>
      <c r="H5" s="6">
        <v>2</v>
      </c>
      <c r="I5" s="6">
        <v>2.5</v>
      </c>
      <c r="J5" s="6">
        <v>3</v>
      </c>
      <c r="K5" s="6">
        <v>3.5</v>
      </c>
    </row>
  </sheetData>
  <mergeCells count="1">
    <mergeCell ref="A4: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0A95-076E-4E74-A354-FE5E50BBE80A}">
  <dimension ref="A2:D12"/>
  <sheetViews>
    <sheetView zoomScale="108" workbookViewId="0">
      <selection activeCell="F6" sqref="F6"/>
    </sheetView>
  </sheetViews>
  <sheetFormatPr defaultRowHeight="14.4" x14ac:dyDescent="0.3"/>
  <cols>
    <col min="1" max="1" width="11.6640625" customWidth="1"/>
    <col min="3" max="3" width="14.6640625" customWidth="1"/>
    <col min="4" max="4" width="16.33203125" customWidth="1"/>
  </cols>
  <sheetData>
    <row r="2" spans="1:4" x14ac:dyDescent="0.3">
      <c r="A2" s="24" t="s">
        <v>61</v>
      </c>
      <c r="B2" s="24"/>
    </row>
    <row r="3" spans="1:4" ht="43.2" x14ac:dyDescent="0.3">
      <c r="A3" s="5" t="s">
        <v>62</v>
      </c>
      <c r="B3" s="5" t="s">
        <v>63</v>
      </c>
      <c r="C3" s="5" t="s">
        <v>64</v>
      </c>
      <c r="D3" s="5" t="s">
        <v>65</v>
      </c>
    </row>
    <row r="4" spans="1:4" x14ac:dyDescent="0.3">
      <c r="A4" s="6" t="s">
        <v>66</v>
      </c>
      <c r="B4" s="6" t="s">
        <v>67</v>
      </c>
      <c r="C4" s="6">
        <v>410</v>
      </c>
      <c r="D4" s="6">
        <v>250</v>
      </c>
    </row>
    <row r="5" spans="1:4" x14ac:dyDescent="0.3">
      <c r="A5" s="6" t="s">
        <v>68</v>
      </c>
      <c r="B5" s="6" t="s">
        <v>69</v>
      </c>
      <c r="C5" s="6">
        <v>430</v>
      </c>
      <c r="D5" s="6">
        <v>275</v>
      </c>
    </row>
    <row r="6" spans="1:4" x14ac:dyDescent="0.3">
      <c r="A6" s="6" t="s">
        <v>70</v>
      </c>
      <c r="B6" s="6" t="s">
        <v>71</v>
      </c>
      <c r="C6" s="6">
        <v>440</v>
      </c>
      <c r="D6" s="6">
        <v>300</v>
      </c>
    </row>
    <row r="7" spans="1:4" x14ac:dyDescent="0.3">
      <c r="A7" s="6" t="s">
        <v>72</v>
      </c>
      <c r="B7" s="6" t="s">
        <v>73</v>
      </c>
      <c r="C7" s="6">
        <v>490</v>
      </c>
      <c r="D7" s="6">
        <v>350</v>
      </c>
    </row>
    <row r="8" spans="1:4" x14ac:dyDescent="0.3">
      <c r="A8" s="6" t="s">
        <v>74</v>
      </c>
      <c r="B8" s="6" t="s">
        <v>75</v>
      </c>
      <c r="C8" s="6">
        <v>540</v>
      </c>
      <c r="D8" s="6">
        <v>410</v>
      </c>
    </row>
    <row r="9" spans="1:4" x14ac:dyDescent="0.3">
      <c r="A9" s="6" t="s">
        <v>76</v>
      </c>
      <c r="B9" s="6" t="s">
        <v>77</v>
      </c>
      <c r="C9" s="6">
        <v>570</v>
      </c>
      <c r="D9" s="6">
        <v>450</v>
      </c>
    </row>
    <row r="10" spans="1:4" x14ac:dyDescent="0.3">
      <c r="A10" s="6" t="s">
        <v>78</v>
      </c>
      <c r="B10" s="6" t="s">
        <v>79</v>
      </c>
      <c r="C10" s="6">
        <v>650</v>
      </c>
      <c r="D10" s="6">
        <v>550</v>
      </c>
    </row>
    <row r="11" spans="1:4" x14ac:dyDescent="0.3">
      <c r="A11" s="6" t="s">
        <v>80</v>
      </c>
      <c r="B11" s="6" t="s">
        <v>81</v>
      </c>
      <c r="C11" s="6">
        <v>730</v>
      </c>
      <c r="D11" s="6">
        <v>600</v>
      </c>
    </row>
    <row r="12" spans="1:4" x14ac:dyDescent="0.3">
      <c r="A12" s="6" t="s">
        <v>82</v>
      </c>
      <c r="B12" s="6" t="s">
        <v>83</v>
      </c>
      <c r="C12" s="6">
        <v>780</v>
      </c>
      <c r="D12" s="6">
        <v>650</v>
      </c>
    </row>
  </sheetData>
  <mergeCells count="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A36B-0E77-4F2C-890B-4E7379333C33}">
  <dimension ref="A2:F29"/>
  <sheetViews>
    <sheetView zoomScale="126" workbookViewId="0">
      <selection activeCell="D4" sqref="D4"/>
    </sheetView>
  </sheetViews>
  <sheetFormatPr defaultRowHeight="14.4" x14ac:dyDescent="0.3"/>
  <cols>
    <col min="1" max="1" width="15.44140625" customWidth="1"/>
    <col min="2" max="2" width="21.44140625" customWidth="1"/>
    <col min="3" max="3" width="21.77734375" customWidth="1"/>
    <col min="4" max="4" width="19.21875" customWidth="1"/>
    <col min="5" max="5" width="20.33203125" customWidth="1"/>
    <col min="6" max="6" width="16.33203125" customWidth="1"/>
  </cols>
  <sheetData>
    <row r="2" spans="1:6" ht="15.6" x14ac:dyDescent="0.3">
      <c r="A2" s="25" t="s">
        <v>134</v>
      </c>
      <c r="B2" s="25"/>
      <c r="C2" s="25"/>
      <c r="D2" s="25"/>
      <c r="E2" s="25"/>
      <c r="F2" s="25"/>
    </row>
    <row r="3" spans="1:6" ht="28.8" x14ac:dyDescent="0.3">
      <c r="A3" s="5" t="s">
        <v>135</v>
      </c>
      <c r="B3" s="5" t="s">
        <v>128</v>
      </c>
      <c r="C3" s="5" t="s">
        <v>129</v>
      </c>
      <c r="D3" s="5" t="s">
        <v>130</v>
      </c>
      <c r="E3" s="5" t="s">
        <v>131</v>
      </c>
      <c r="F3" s="5" t="s">
        <v>132</v>
      </c>
    </row>
    <row r="4" spans="1:6" x14ac:dyDescent="0.3">
      <c r="A4" s="18">
        <v>0.5</v>
      </c>
      <c r="B4" s="18">
        <v>0.45500000000000002</v>
      </c>
      <c r="C4" s="18">
        <v>0.46100000000000002</v>
      </c>
      <c r="D4" s="18">
        <v>0.46400000000000002</v>
      </c>
      <c r="E4" s="18">
        <v>0.46899999999999997</v>
      </c>
      <c r="F4" s="18">
        <v>0.47399999999999998</v>
      </c>
    </row>
    <row r="5" spans="1:6" x14ac:dyDescent="0.3">
      <c r="A5" s="18">
        <v>1</v>
      </c>
      <c r="B5" s="18">
        <v>0.83</v>
      </c>
      <c r="C5" s="18">
        <v>0.85199999999999998</v>
      </c>
      <c r="D5" s="18">
        <v>0.86399999999999999</v>
      </c>
      <c r="E5" s="18">
        <v>0.88100000000000001</v>
      </c>
      <c r="F5" s="18">
        <v>0.89800000000000002</v>
      </c>
    </row>
    <row r="6" spans="1:6" x14ac:dyDescent="0.3">
      <c r="A6" s="18">
        <v>1.5</v>
      </c>
      <c r="B6" s="18">
        <v>1.1399999999999999</v>
      </c>
      <c r="C6" s="18">
        <v>1.1830000000000001</v>
      </c>
      <c r="D6" s="18">
        <v>1.208</v>
      </c>
      <c r="E6" s="18">
        <v>1.242</v>
      </c>
      <c r="F6" s="18">
        <v>1.278</v>
      </c>
    </row>
    <row r="7" spans="1:6" x14ac:dyDescent="0.3">
      <c r="A7" s="18">
        <v>2</v>
      </c>
      <c r="B7" s="18">
        <v>1.395</v>
      </c>
      <c r="C7" s="18">
        <v>1.464</v>
      </c>
      <c r="D7" s="18">
        <v>1.504</v>
      </c>
      <c r="E7" s="18">
        <v>1.56</v>
      </c>
      <c r="F7" s="18">
        <v>1.6180000000000001</v>
      </c>
    </row>
    <row r="8" spans="1:6" x14ac:dyDescent="0.3">
      <c r="A8" s="18">
        <v>2.5</v>
      </c>
      <c r="B8" s="18">
        <v>1.6060000000000001</v>
      </c>
      <c r="C8" s="18">
        <v>1.702</v>
      </c>
      <c r="D8" s="18">
        <v>1.764</v>
      </c>
      <c r="E8" s="18">
        <v>1.8380000000000001</v>
      </c>
      <c r="F8" s="18">
        <v>1.923</v>
      </c>
    </row>
    <row r="9" spans="1:6" x14ac:dyDescent="0.3">
      <c r="A9" s="18">
        <v>3</v>
      </c>
      <c r="B9" s="18">
        <v>1.78</v>
      </c>
      <c r="C9" s="18">
        <v>1.9039999999999999</v>
      </c>
      <c r="D9" s="18">
        <v>1.978</v>
      </c>
      <c r="E9" s="18">
        <v>2.0830000000000002</v>
      </c>
      <c r="F9" s="18">
        <v>2.1960000000000002</v>
      </c>
    </row>
    <row r="10" spans="1:6" x14ac:dyDescent="0.3">
      <c r="A10" s="18">
        <v>3.5</v>
      </c>
      <c r="B10" s="18">
        <v>1.923</v>
      </c>
      <c r="C10" s="18">
        <v>2.0750000000000002</v>
      </c>
      <c r="D10" s="18">
        <v>2.1669999999999998</v>
      </c>
      <c r="E10" s="18">
        <v>2.298</v>
      </c>
      <c r="F10" s="18">
        <v>2.4409999999999998</v>
      </c>
    </row>
    <row r="11" spans="1:6" x14ac:dyDescent="0.3">
      <c r="A11" s="18">
        <v>4</v>
      </c>
      <c r="B11" s="18">
        <v>2.0409999999999999</v>
      </c>
      <c r="C11" s="18">
        <v>2.2210000000000001</v>
      </c>
      <c r="D11" s="18">
        <v>2.3290000000000002</v>
      </c>
      <c r="E11" s="18">
        <v>2.4870000000000001</v>
      </c>
      <c r="F11" s="18">
        <v>2.66</v>
      </c>
    </row>
    <row r="12" spans="1:6" x14ac:dyDescent="0.3">
      <c r="A12" s="18">
        <v>4.5</v>
      </c>
      <c r="B12" s="18">
        <v>2.1360000000000001</v>
      </c>
      <c r="C12" s="18">
        <v>2.3439999999999999</v>
      </c>
      <c r="D12" s="18">
        <v>2.4689999999999999</v>
      </c>
      <c r="E12" s="18">
        <v>2.65</v>
      </c>
      <c r="F12" s="18">
        <v>2.8559999999999999</v>
      </c>
    </row>
    <row r="13" spans="1:6" x14ac:dyDescent="0.3">
      <c r="A13" s="18">
        <v>5</v>
      </c>
      <c r="B13" s="18">
        <v>2.2189999999999999</v>
      </c>
      <c r="C13" s="18">
        <v>2.448</v>
      </c>
      <c r="D13" s="18">
        <v>2.59</v>
      </c>
      <c r="E13" s="18">
        <v>2.798</v>
      </c>
      <c r="F13" s="18">
        <v>3.032</v>
      </c>
    </row>
    <row r="14" spans="1:6" x14ac:dyDescent="0.3">
      <c r="A14" s="18">
        <v>5.5</v>
      </c>
      <c r="B14" s="18">
        <v>2.286</v>
      </c>
      <c r="C14" s="18">
        <v>2.5369999999999999</v>
      </c>
      <c r="D14" s="18">
        <v>2.6930000000000001</v>
      </c>
      <c r="E14" s="18">
        <v>2.9260000000000002</v>
      </c>
      <c r="F14" s="18">
        <v>3.19</v>
      </c>
    </row>
    <row r="15" spans="1:6" x14ac:dyDescent="0.3">
      <c r="A15" s="18">
        <v>6</v>
      </c>
      <c r="B15" s="18">
        <v>2.34</v>
      </c>
      <c r="C15" s="18">
        <v>2.6120000000000001</v>
      </c>
      <c r="D15" s="18">
        <v>2.782</v>
      </c>
      <c r="E15" s="18">
        <v>3.0379999999999998</v>
      </c>
      <c r="F15" s="18">
        <v>3.331</v>
      </c>
    </row>
    <row r="16" spans="1:6" x14ac:dyDescent="0.3">
      <c r="A16" s="18">
        <v>6.5</v>
      </c>
      <c r="B16" s="18">
        <v>2.3860000000000001</v>
      </c>
      <c r="C16" s="18">
        <v>2.6749999999999998</v>
      </c>
      <c r="D16" s="18">
        <v>2.859</v>
      </c>
      <c r="E16" s="18">
        <v>3.137</v>
      </c>
      <c r="F16" s="18">
        <v>3.4580000000000002</v>
      </c>
    </row>
    <row r="17" spans="1:6" x14ac:dyDescent="0.3">
      <c r="A17" s="18">
        <v>7</v>
      </c>
      <c r="B17" s="18">
        <v>2.423</v>
      </c>
      <c r="C17" s="18">
        <v>2.7290000000000001</v>
      </c>
      <c r="D17" s="18">
        <v>2.9249999999999998</v>
      </c>
      <c r="E17" s="18">
        <v>3.2229999999999999</v>
      </c>
      <c r="F17" s="18">
        <v>3.5710000000000002</v>
      </c>
    </row>
    <row r="18" spans="1:6" x14ac:dyDescent="0.3">
      <c r="A18" s="18">
        <v>7.5</v>
      </c>
      <c r="B18" s="18">
        <v>2.4540000000000002</v>
      </c>
      <c r="C18" s="18">
        <v>2.7749999999999999</v>
      </c>
      <c r="D18" s="18">
        <v>2.9820000000000002</v>
      </c>
      <c r="E18" s="18">
        <v>3.2989999999999999</v>
      </c>
      <c r="F18" s="18">
        <v>3.673</v>
      </c>
    </row>
    <row r="19" spans="1:6" x14ac:dyDescent="0.3">
      <c r="A19" s="18">
        <v>8</v>
      </c>
      <c r="B19" s="18">
        <v>2.4790000000000001</v>
      </c>
      <c r="C19" s="18">
        <v>2.8140000000000001</v>
      </c>
      <c r="D19" s="18">
        <v>3.0310000000000001</v>
      </c>
      <c r="E19" s="18">
        <v>3.3660000000000001</v>
      </c>
      <c r="F19" s="18">
        <v>3.7639999999999998</v>
      </c>
    </row>
    <row r="20" spans="1:6" x14ac:dyDescent="0.3">
      <c r="A20" s="18">
        <v>8.5</v>
      </c>
      <c r="B20" s="18">
        <v>2.5</v>
      </c>
      <c r="C20" s="18">
        <v>2.847</v>
      </c>
      <c r="D20" s="18">
        <v>3.073</v>
      </c>
      <c r="E20" s="18">
        <v>3.4239999999999999</v>
      </c>
      <c r="F20" s="18">
        <v>3.8450000000000002</v>
      </c>
    </row>
    <row r="21" spans="1:6" x14ac:dyDescent="0.3">
      <c r="A21" s="18">
        <v>9</v>
      </c>
      <c r="B21" s="18">
        <v>2.5179999999999998</v>
      </c>
      <c r="C21" s="18">
        <v>2.875</v>
      </c>
      <c r="D21" s="18">
        <v>3.109</v>
      </c>
      <c r="E21" s="18">
        <v>3.476</v>
      </c>
      <c r="F21" s="18">
        <v>3.9180000000000001</v>
      </c>
    </row>
    <row r="22" spans="1:6" x14ac:dyDescent="0.3">
      <c r="A22" s="18">
        <v>9.5</v>
      </c>
      <c r="B22" s="18">
        <v>2.532</v>
      </c>
      <c r="C22" s="18">
        <v>2.8980000000000001</v>
      </c>
      <c r="D22" s="18">
        <v>3.141</v>
      </c>
      <c r="E22" s="18">
        <v>3.5209999999999999</v>
      </c>
      <c r="F22" s="18">
        <v>3.9830000000000001</v>
      </c>
    </row>
    <row r="23" spans="1:6" x14ac:dyDescent="0.3">
      <c r="A23" s="18">
        <v>10</v>
      </c>
      <c r="B23" s="18">
        <v>2.5430000000000001</v>
      </c>
      <c r="C23" s="18">
        <v>2.9180000000000001</v>
      </c>
      <c r="D23" s="18">
        <v>3.1669999999999998</v>
      </c>
      <c r="E23" s="18">
        <v>3.56</v>
      </c>
      <c r="F23" s="18">
        <v>4.0419999999999998</v>
      </c>
    </row>
    <row r="24" spans="1:6" x14ac:dyDescent="0.3">
      <c r="A24" s="18">
        <v>11</v>
      </c>
      <c r="B24" s="18">
        <v>2.5609999999999999</v>
      </c>
      <c r="C24" s="18">
        <v>2.95</v>
      </c>
      <c r="D24" s="18">
        <v>3.21</v>
      </c>
      <c r="E24" s="18">
        <v>3.6259999999999999</v>
      </c>
      <c r="F24" s="18">
        <v>4.141</v>
      </c>
    </row>
    <row r="25" spans="1:6" x14ac:dyDescent="0.3">
      <c r="A25" s="18">
        <v>12</v>
      </c>
      <c r="B25" s="18">
        <v>2.573</v>
      </c>
      <c r="C25" s="18">
        <v>2.972</v>
      </c>
      <c r="D25" s="18">
        <v>3.242</v>
      </c>
      <c r="E25" s="18">
        <v>3.6760000000000002</v>
      </c>
      <c r="F25" s="18">
        <v>4.2210000000000001</v>
      </c>
    </row>
    <row r="26" spans="1:6" x14ac:dyDescent="0.3">
      <c r="A26" s="18">
        <v>13</v>
      </c>
      <c r="B26" s="18">
        <v>2.581</v>
      </c>
      <c r="C26" s="18">
        <v>2.9889999999999999</v>
      </c>
      <c r="D26" s="18">
        <v>3.266</v>
      </c>
      <c r="E26" s="18">
        <v>3.7149999999999999</v>
      </c>
      <c r="F26" s="18">
        <v>4.2850000000000001</v>
      </c>
    </row>
    <row r="27" spans="1:6" x14ac:dyDescent="0.3">
      <c r="A27" s="18">
        <v>14</v>
      </c>
      <c r="B27" s="18">
        <v>2.5870000000000002</v>
      </c>
      <c r="C27" s="18">
        <v>3</v>
      </c>
      <c r="D27" s="18">
        <v>3.2829999999999999</v>
      </c>
      <c r="E27" s="18">
        <v>3.7450000000000001</v>
      </c>
      <c r="F27" s="18">
        <v>4.3360000000000003</v>
      </c>
    </row>
    <row r="28" spans="1:6" x14ac:dyDescent="0.3">
      <c r="A28" s="18">
        <v>15</v>
      </c>
      <c r="B28" s="18">
        <v>2.5910000000000002</v>
      </c>
      <c r="C28" s="18">
        <v>3.0089999999999999</v>
      </c>
      <c r="D28" s="18">
        <v>3.2959999999999998</v>
      </c>
      <c r="E28" s="18">
        <v>3.7679999999999998</v>
      </c>
      <c r="F28" s="18">
        <v>4.3780000000000001</v>
      </c>
    </row>
    <row r="29" spans="1:6" x14ac:dyDescent="0.3">
      <c r="A29" s="18" t="s">
        <v>133</v>
      </c>
      <c r="B29" s="18">
        <v>2.5990000000000002</v>
      </c>
      <c r="C29" s="18">
        <v>3.03</v>
      </c>
      <c r="D29" s="18">
        <v>3.3330000000000002</v>
      </c>
      <c r="E29" s="18">
        <v>3.8460000000000001</v>
      </c>
      <c r="F29" s="18">
        <v>4.548</v>
      </c>
    </row>
  </sheetData>
  <mergeCells count="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B230-34CF-4C8F-AC88-4F0F6A54B896}">
  <dimension ref="A1:F19"/>
  <sheetViews>
    <sheetView zoomScale="116" workbookViewId="0">
      <selection activeCell="E15" sqref="E15"/>
    </sheetView>
  </sheetViews>
  <sheetFormatPr defaultRowHeight="14.4" x14ac:dyDescent="0.3"/>
  <cols>
    <col min="1" max="1" width="25" customWidth="1"/>
    <col min="2" max="2" width="23.33203125" customWidth="1"/>
    <col min="3" max="3" width="16.44140625" customWidth="1"/>
    <col min="6" max="6" width="13.44140625" customWidth="1"/>
  </cols>
  <sheetData>
    <row r="1" spans="1:6" x14ac:dyDescent="0.3">
      <c r="A1" s="2" t="s">
        <v>179</v>
      </c>
    </row>
    <row r="3" spans="1:6" ht="28.8" x14ac:dyDescent="0.3">
      <c r="A3" s="32" t="s">
        <v>185</v>
      </c>
      <c r="B3" s="17" t="s">
        <v>180</v>
      </c>
      <c r="C3" s="5" t="s">
        <v>181</v>
      </c>
      <c r="D3" s="5" t="s">
        <v>182</v>
      </c>
      <c r="E3" s="5" t="s">
        <v>183</v>
      </c>
      <c r="F3" s="5" t="s">
        <v>184</v>
      </c>
    </row>
    <row r="4" spans="1:6" x14ac:dyDescent="0.3">
      <c r="A4" s="10">
        <v>0</v>
      </c>
      <c r="B4" s="6">
        <v>0</v>
      </c>
      <c r="C4" s="6">
        <v>0.318</v>
      </c>
      <c r="D4" s="6">
        <v>0.318</v>
      </c>
      <c r="E4" s="6">
        <v>0.182</v>
      </c>
      <c r="F4" s="6">
        <v>0.13700000000000001</v>
      </c>
    </row>
    <row r="5" spans="1:6" x14ac:dyDescent="0.3">
      <c r="A5" s="10"/>
      <c r="B5" s="6">
        <v>30</v>
      </c>
      <c r="C5" s="6">
        <v>0.25900000000000001</v>
      </c>
      <c r="D5" s="6">
        <v>0.318</v>
      </c>
      <c r="E5" s="6">
        <v>0.18</v>
      </c>
      <c r="F5" s="6">
        <v>0.13500000000000001</v>
      </c>
    </row>
    <row r="6" spans="1:6" x14ac:dyDescent="0.3">
      <c r="A6" s="10"/>
      <c r="B6" s="6">
        <v>60</v>
      </c>
      <c r="C6" s="6">
        <v>0.21299999999999999</v>
      </c>
      <c r="D6" s="6">
        <v>0.312</v>
      </c>
      <c r="E6" s="6">
        <v>0.17499999999999999</v>
      </c>
      <c r="F6" s="6">
        <v>0.13</v>
      </c>
    </row>
    <row r="7" spans="1:6" x14ac:dyDescent="0.3">
      <c r="A7" s="10"/>
      <c r="B7" s="6">
        <v>90</v>
      </c>
      <c r="C7" s="6">
        <v>0.182</v>
      </c>
      <c r="D7" s="6">
        <v>0.30199999999999999</v>
      </c>
      <c r="E7" s="6">
        <v>0.16800000000000001</v>
      </c>
      <c r="F7" s="6">
        <v>0.122</v>
      </c>
    </row>
    <row r="8" spans="1:6" x14ac:dyDescent="0.3">
      <c r="A8" s="10"/>
      <c r="B8" s="6">
        <v>120</v>
      </c>
      <c r="C8" s="6">
        <v>0.16200000000000001</v>
      </c>
      <c r="D8" s="6">
        <v>0.29899999999999999</v>
      </c>
      <c r="E8" s="6">
        <v>0.161</v>
      </c>
      <c r="F8" s="6">
        <v>0.11600000000000001</v>
      </c>
    </row>
    <row r="9" spans="1:6" x14ac:dyDescent="0.3">
      <c r="A9" s="10"/>
      <c r="B9" s="6">
        <v>150</v>
      </c>
      <c r="C9" s="6">
        <v>0.153</v>
      </c>
      <c r="D9" s="6">
        <v>0.29499999999999998</v>
      </c>
      <c r="E9" s="6">
        <v>0.156</v>
      </c>
      <c r="F9" s="6">
        <v>0.111</v>
      </c>
    </row>
    <row r="10" spans="1:6" x14ac:dyDescent="0.3">
      <c r="A10" s="10"/>
      <c r="B10" s="6">
        <v>180</v>
      </c>
      <c r="C10" s="6">
        <v>0.15</v>
      </c>
      <c r="D10" s="6">
        <v>0.29399999999999998</v>
      </c>
      <c r="E10" s="6">
        <v>0.153</v>
      </c>
      <c r="F10" s="6">
        <v>0.11</v>
      </c>
    </row>
    <row r="11" spans="1:6" x14ac:dyDescent="0.3">
      <c r="A11" s="10"/>
    </row>
    <row r="12" spans="1:6" ht="28.8" x14ac:dyDescent="0.3">
      <c r="A12" s="2" t="s">
        <v>185</v>
      </c>
      <c r="B12" s="5" t="s">
        <v>180</v>
      </c>
      <c r="C12" s="5" t="s">
        <v>181</v>
      </c>
      <c r="D12" s="5" t="s">
        <v>182</v>
      </c>
      <c r="E12" s="5" t="s">
        <v>183</v>
      </c>
      <c r="F12" s="5" t="s">
        <v>184</v>
      </c>
    </row>
    <row r="13" spans="1:6" x14ac:dyDescent="0.3">
      <c r="A13" s="33">
        <v>180</v>
      </c>
      <c r="B13" s="6">
        <v>0</v>
      </c>
      <c r="C13" s="6">
        <v>0.29399999999999998</v>
      </c>
      <c r="D13" s="6">
        <v>0.15</v>
      </c>
      <c r="E13" s="6">
        <v>0.153</v>
      </c>
      <c r="F13" s="6">
        <v>0.11</v>
      </c>
    </row>
    <row r="14" spans="1:6" x14ac:dyDescent="0.3">
      <c r="A14" s="33"/>
      <c r="B14" s="6">
        <v>30</v>
      </c>
      <c r="C14" s="6">
        <v>0.23499999999999999</v>
      </c>
      <c r="D14" s="6">
        <v>0.14799999999999999</v>
      </c>
      <c r="E14" s="6">
        <v>0.152</v>
      </c>
      <c r="F14" s="6">
        <v>0.108</v>
      </c>
    </row>
    <row r="15" spans="1:6" x14ac:dyDescent="0.3">
      <c r="A15" s="33"/>
      <c r="B15" s="6">
        <v>60</v>
      </c>
      <c r="C15" s="6">
        <v>0.18</v>
      </c>
      <c r="D15" s="6">
        <v>0.14299999999999999</v>
      </c>
      <c r="E15" s="6">
        <v>0.14699999999999999</v>
      </c>
      <c r="F15" s="6">
        <v>0.10299999999999999</v>
      </c>
    </row>
    <row r="16" spans="1:6" x14ac:dyDescent="0.3">
      <c r="A16" s="33"/>
      <c r="B16" s="6">
        <v>90</v>
      </c>
      <c r="C16" s="6">
        <v>0.157</v>
      </c>
      <c r="D16" s="6">
        <v>0.13700000000000001</v>
      </c>
      <c r="E16" s="6">
        <v>0.14000000000000001</v>
      </c>
      <c r="F16" s="6">
        <v>9.6000000000000002E-2</v>
      </c>
    </row>
    <row r="17" spans="1:6" x14ac:dyDescent="0.3">
      <c r="A17" s="33"/>
      <c r="B17" s="6">
        <v>120</v>
      </c>
      <c r="C17" s="6">
        <v>0.13800000000000001</v>
      </c>
      <c r="D17" s="6">
        <v>0.13100000000000001</v>
      </c>
      <c r="E17" s="6">
        <v>0.13300000000000001</v>
      </c>
      <c r="F17" s="6">
        <v>8.8999999999999996E-2</v>
      </c>
    </row>
    <row r="18" spans="1:6" x14ac:dyDescent="0.3">
      <c r="A18" s="33"/>
      <c r="B18" s="6">
        <v>150</v>
      </c>
      <c r="C18" s="6">
        <v>0.128</v>
      </c>
      <c r="D18" s="6">
        <v>0.126</v>
      </c>
      <c r="E18" s="6">
        <v>0.127</v>
      </c>
      <c r="F18" s="6">
        <v>8.5000000000000006E-2</v>
      </c>
    </row>
    <row r="19" spans="1:6" x14ac:dyDescent="0.3">
      <c r="A19" s="33"/>
      <c r="B19" s="6">
        <v>180</v>
      </c>
      <c r="C19" s="6">
        <v>0.125</v>
      </c>
      <c r="D19" s="6">
        <v>0.125</v>
      </c>
      <c r="E19" s="6">
        <v>0.125</v>
      </c>
      <c r="F19" s="6">
        <v>8.3000000000000004E-2</v>
      </c>
    </row>
  </sheetData>
  <mergeCells count="1">
    <mergeCell ref="A13: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DB00-710B-4B26-8AF2-0F72BDD2178C}">
  <dimension ref="A1:H156"/>
  <sheetViews>
    <sheetView topLeftCell="M177" zoomScale="82" workbookViewId="0">
      <selection activeCell="H12" sqref="H12"/>
    </sheetView>
  </sheetViews>
  <sheetFormatPr defaultRowHeight="14.4" x14ac:dyDescent="0.3"/>
  <cols>
    <col min="1" max="1" width="38.77734375" customWidth="1"/>
    <col min="2" max="2" width="13.5546875" customWidth="1"/>
    <col min="3" max="3" width="12.33203125" customWidth="1"/>
    <col min="4" max="4" width="16.77734375" customWidth="1"/>
  </cols>
  <sheetData>
    <row r="1" spans="1:8" ht="25.8" x14ac:dyDescent="0.5">
      <c r="A1" s="38" t="s">
        <v>211</v>
      </c>
      <c r="B1" s="38"/>
      <c r="C1" s="38"/>
      <c r="D1" s="38"/>
    </row>
    <row r="2" spans="1:8" ht="60" customHeight="1" x14ac:dyDescent="0.3">
      <c r="C2" s="27"/>
      <c r="D2" s="27"/>
    </row>
    <row r="4" spans="1:8" x14ac:dyDescent="0.3">
      <c r="A4" s="2" t="s">
        <v>205</v>
      </c>
      <c r="B4" cm="1">
        <f t="array" ref="B4:B8">Details!B4:B8</f>
        <v>0</v>
      </c>
    </row>
    <row r="5" spans="1:8" x14ac:dyDescent="0.3">
      <c r="A5" s="2" t="s">
        <v>206</v>
      </c>
      <c r="B5">
        <v>0</v>
      </c>
    </row>
    <row r="6" spans="1:8" x14ac:dyDescent="0.3">
      <c r="A6" s="2" t="s">
        <v>207</v>
      </c>
      <c r="B6">
        <v>0</v>
      </c>
    </row>
    <row r="7" spans="1:8" x14ac:dyDescent="0.3">
      <c r="A7" s="2" t="s">
        <v>208</v>
      </c>
      <c r="B7">
        <v>0</v>
      </c>
    </row>
    <row r="8" spans="1:8" x14ac:dyDescent="0.3">
      <c r="A8" s="2" t="s">
        <v>209</v>
      </c>
      <c r="B8">
        <v>0</v>
      </c>
    </row>
    <row r="10" spans="1:8" ht="23.4" x14ac:dyDescent="0.45">
      <c r="A10" s="21" t="s">
        <v>34</v>
      </c>
      <c r="B10" s="21"/>
      <c r="C10" s="21"/>
      <c r="D10" s="21"/>
      <c r="E10" s="37"/>
      <c r="F10" s="37"/>
      <c r="G10" s="37"/>
      <c r="H10" s="37"/>
    </row>
    <row r="12" spans="1:8" x14ac:dyDescent="0.3">
      <c r="A12" s="8" t="s">
        <v>0</v>
      </c>
      <c r="B12" s="8" t="s">
        <v>1</v>
      </c>
      <c r="C12" s="8" t="s">
        <v>2</v>
      </c>
      <c r="D12" s="8" t="s">
        <v>3</v>
      </c>
    </row>
    <row r="13" spans="1:8" ht="16.2" x14ac:dyDescent="0.3">
      <c r="A13" s="1" t="s">
        <v>5</v>
      </c>
      <c r="B13" s="1" t="s">
        <v>4</v>
      </c>
      <c r="C13" s="3">
        <f>Details!B11</f>
        <v>29.7</v>
      </c>
      <c r="D13" s="1">
        <f>ROUNDUP(1.1*C13,0)</f>
        <v>33</v>
      </c>
    </row>
    <row r="14" spans="1:8" x14ac:dyDescent="0.3">
      <c r="A14" s="1" t="s">
        <v>6</v>
      </c>
      <c r="B14" s="1" t="s">
        <v>15</v>
      </c>
      <c r="C14" s="3">
        <f>Details!B12</f>
        <v>100</v>
      </c>
    </row>
    <row r="15" spans="1:8" x14ac:dyDescent="0.3">
      <c r="A15" s="1" t="s">
        <v>7</v>
      </c>
      <c r="B15" s="1" t="s">
        <v>8</v>
      </c>
      <c r="C15" s="4">
        <f>Details!B13</f>
        <v>0</v>
      </c>
    </row>
    <row r="17" spans="1:4" x14ac:dyDescent="0.3">
      <c r="A17" s="22" t="s">
        <v>28</v>
      </c>
      <c r="B17" s="22"/>
      <c r="C17" s="22"/>
    </row>
    <row r="18" spans="1:4" x14ac:dyDescent="0.3">
      <c r="A18" s="1" t="s">
        <v>17</v>
      </c>
      <c r="B18" s="1" t="s">
        <v>18</v>
      </c>
      <c r="C18" s="1">
        <v>2</v>
      </c>
    </row>
    <row r="19" spans="1:4" ht="16.2" x14ac:dyDescent="0.3">
      <c r="A19" s="1" t="s">
        <v>20</v>
      </c>
      <c r="B19" s="1" t="s">
        <v>16</v>
      </c>
      <c r="C19" s="1">
        <f>D13/C18</f>
        <v>16.5</v>
      </c>
    </row>
    <row r="20" spans="1:4" x14ac:dyDescent="0.3">
      <c r="A20" s="1" t="s">
        <v>22</v>
      </c>
      <c r="B20" s="1" t="s">
        <v>8</v>
      </c>
      <c r="C20" s="1">
        <f>SQRT(C19*4/3.14)</f>
        <v>4.5846601052046134</v>
      </c>
    </row>
    <row r="21" spans="1:4" x14ac:dyDescent="0.3">
      <c r="A21" s="1" t="s">
        <v>21</v>
      </c>
      <c r="B21" s="1" t="s">
        <v>8</v>
      </c>
      <c r="C21" s="1">
        <v>3.5</v>
      </c>
    </row>
    <row r="22" spans="1:4" x14ac:dyDescent="0.3">
      <c r="A22" s="1" t="s">
        <v>23</v>
      </c>
      <c r="C22">
        <f>ROUNDUP(C20/C21,0)</f>
        <v>2</v>
      </c>
    </row>
    <row r="23" spans="1:4" x14ac:dyDescent="0.3">
      <c r="A23" s="1" t="s">
        <v>24</v>
      </c>
      <c r="B23" s="1" t="s">
        <v>8</v>
      </c>
      <c r="C23">
        <f>IF(C22&gt;1,C21,_xlfn.XLOOKUP(C20,'Pipe Sizes'!A5:K5,'Pipe Sizes'!A5:K5,"No size Available",1))</f>
        <v>3.5</v>
      </c>
    </row>
    <row r="24" spans="1:4" x14ac:dyDescent="0.3">
      <c r="D24" s="1"/>
    </row>
    <row r="25" spans="1:4" x14ac:dyDescent="0.3">
      <c r="A25" s="22" t="s">
        <v>29</v>
      </c>
      <c r="B25" s="22"/>
      <c r="C25" s="22"/>
    </row>
    <row r="26" spans="1:4" x14ac:dyDescent="0.3">
      <c r="A26" s="1" t="s">
        <v>10</v>
      </c>
      <c r="B26" s="1" t="s">
        <v>9</v>
      </c>
      <c r="C26" s="1">
        <v>0.77</v>
      </c>
      <c r="D26" s="1"/>
    </row>
    <row r="27" spans="1:4" x14ac:dyDescent="0.3">
      <c r="A27" s="1" t="s">
        <v>11</v>
      </c>
      <c r="B27" s="1"/>
      <c r="C27" s="1"/>
      <c r="D27" s="1"/>
    </row>
    <row r="28" spans="1:4" x14ac:dyDescent="0.3">
      <c r="A28" s="1" t="s">
        <v>120</v>
      </c>
      <c r="B28" s="1" t="s">
        <v>8</v>
      </c>
      <c r="C28" s="1">
        <f>C15+C26*C14</f>
        <v>77</v>
      </c>
      <c r="D28" s="1">
        <f>ROUNDUP(C28,-1)</f>
        <v>80</v>
      </c>
    </row>
    <row r="30" spans="1:4" x14ac:dyDescent="0.3">
      <c r="A30" s="20" t="s">
        <v>30</v>
      </c>
      <c r="B30" s="20"/>
      <c r="C30" s="20"/>
    </row>
    <row r="31" spans="1:4" x14ac:dyDescent="0.3">
      <c r="A31" s="1" t="s">
        <v>31</v>
      </c>
      <c r="B31">
        <f>C22*3.14*C23^2/4</f>
        <v>19.232500000000002</v>
      </c>
    </row>
    <row r="32" spans="1:4" x14ac:dyDescent="0.3">
      <c r="A32" s="1" t="s">
        <v>32</v>
      </c>
      <c r="B32">
        <f>D13/B31</f>
        <v>1.7158455738983489</v>
      </c>
    </row>
    <row r="33" spans="1:4" x14ac:dyDescent="0.3">
      <c r="B33" s="1" t="str">
        <f>IF(B32&lt;2,"OK","fail")</f>
        <v>OK</v>
      </c>
      <c r="C33" t="str">
        <f>IF(B33="fail","Increase the Diameter of Pipe or Increase More No. of Pipe"," ")</f>
        <v xml:space="preserve"> </v>
      </c>
    </row>
    <row r="35" spans="1:4" x14ac:dyDescent="0.3">
      <c r="A35" s="22" t="s">
        <v>36</v>
      </c>
      <c r="B35" s="22"/>
      <c r="C35" s="22"/>
      <c r="D35" s="2"/>
    </row>
    <row r="36" spans="1:4" x14ac:dyDescent="0.3">
      <c r="A36" s="2" t="s">
        <v>59</v>
      </c>
    </row>
    <row r="37" spans="1:4" x14ac:dyDescent="0.3">
      <c r="A37" t="s">
        <v>37</v>
      </c>
      <c r="B37" s="1" t="s">
        <v>39</v>
      </c>
      <c r="C37" s="1">
        <v>2500</v>
      </c>
    </row>
    <row r="38" spans="1:4" x14ac:dyDescent="0.3">
      <c r="A38" t="s">
        <v>38</v>
      </c>
      <c r="B38" s="1" t="s">
        <v>39</v>
      </c>
      <c r="C38" s="3">
        <f>Details!B15</f>
        <v>25</v>
      </c>
    </row>
    <row r="39" spans="1:4" x14ac:dyDescent="0.3">
      <c r="A39" t="s">
        <v>40</v>
      </c>
      <c r="B39" s="1" t="s">
        <v>39</v>
      </c>
      <c r="C39" s="1">
        <f>Details!B16</f>
        <v>0</v>
      </c>
    </row>
    <row r="40" spans="1:4" x14ac:dyDescent="0.3">
      <c r="A40" t="s">
        <v>44</v>
      </c>
      <c r="B40" s="1" t="s">
        <v>39</v>
      </c>
      <c r="C40" s="1">
        <f>Details!B17</f>
        <v>0</v>
      </c>
    </row>
    <row r="41" spans="1:4" x14ac:dyDescent="0.3">
      <c r="A41" t="s">
        <v>42</v>
      </c>
      <c r="B41" s="1" t="s">
        <v>39</v>
      </c>
      <c r="C41" s="1">
        <f>C37+2*C38</f>
        <v>2550</v>
      </c>
    </row>
    <row r="42" spans="1:4" x14ac:dyDescent="0.3">
      <c r="A42" t="s">
        <v>43</v>
      </c>
      <c r="B42" s="1" t="s">
        <v>39</v>
      </c>
      <c r="C42" s="1">
        <f>C37+2*C38+2*C40</f>
        <v>2550</v>
      </c>
    </row>
    <row r="43" spans="1:4" x14ac:dyDescent="0.3">
      <c r="A43" t="s">
        <v>45</v>
      </c>
      <c r="B43" s="1" t="s">
        <v>46</v>
      </c>
      <c r="C43" s="1">
        <v>225</v>
      </c>
    </row>
    <row r="44" spans="1:4" ht="28.8" x14ac:dyDescent="0.3">
      <c r="A44" s="9" t="s">
        <v>48</v>
      </c>
      <c r="B44" s="10" t="s">
        <v>46</v>
      </c>
      <c r="C44" s="1">
        <v>123.7</v>
      </c>
    </row>
    <row r="45" spans="1:4" ht="16.2" x14ac:dyDescent="0.3">
      <c r="A45" t="s">
        <v>124</v>
      </c>
      <c r="B45" s="1" t="s">
        <v>49</v>
      </c>
      <c r="C45" s="3">
        <v>1.8</v>
      </c>
    </row>
    <row r="46" spans="1:4" x14ac:dyDescent="0.3">
      <c r="A46" s="13" t="s">
        <v>50</v>
      </c>
      <c r="B46" s="1" t="s">
        <v>51</v>
      </c>
      <c r="C46" s="3">
        <v>30</v>
      </c>
    </row>
    <row r="47" spans="1:4" ht="15.6" x14ac:dyDescent="0.35">
      <c r="A47" t="s">
        <v>53</v>
      </c>
      <c r="B47" s="1" t="s">
        <v>39</v>
      </c>
      <c r="C47" s="1">
        <f>2.5*C41</f>
        <v>6375</v>
      </c>
    </row>
    <row r="48" spans="1:4" x14ac:dyDescent="0.3">
      <c r="A48" t="s">
        <v>55</v>
      </c>
      <c r="B48" s="1" t="s">
        <v>56</v>
      </c>
      <c r="C48" s="3">
        <v>90</v>
      </c>
    </row>
    <row r="49" spans="1:3" x14ac:dyDescent="0.3">
      <c r="A49" t="s">
        <v>57</v>
      </c>
      <c r="B49" s="1" t="s">
        <v>39</v>
      </c>
      <c r="C49" s="1">
        <f>C14*1000</f>
        <v>100000</v>
      </c>
    </row>
    <row r="51" spans="1:3" x14ac:dyDescent="0.3">
      <c r="A51" s="2" t="s">
        <v>58</v>
      </c>
    </row>
    <row r="52" spans="1:3" x14ac:dyDescent="0.3">
      <c r="A52" t="s">
        <v>60</v>
      </c>
      <c r="C52" s="3" t="str">
        <f>Details!B19</f>
        <v>Fe-410</v>
      </c>
    </row>
    <row r="53" spans="1:3" ht="16.2" x14ac:dyDescent="0.3">
      <c r="A53" t="s">
        <v>84</v>
      </c>
      <c r="B53" s="1" t="s">
        <v>85</v>
      </c>
      <c r="C53" s="1">
        <f>_xlfn.XLOOKUP(C52,'Grade of steel'!A4:A12,'Grade of steel'!D4:D12)*10</f>
        <v>2500</v>
      </c>
    </row>
    <row r="54" spans="1:3" ht="28.8" x14ac:dyDescent="0.3">
      <c r="A54" s="14" t="s">
        <v>86</v>
      </c>
      <c r="B54" s="10" t="s">
        <v>85</v>
      </c>
      <c r="C54" s="1">
        <f>0.5*C53</f>
        <v>1250</v>
      </c>
    </row>
    <row r="55" spans="1:3" ht="28.8" x14ac:dyDescent="0.3">
      <c r="A55" s="9" t="s">
        <v>87</v>
      </c>
      <c r="B55" s="10" t="s">
        <v>85</v>
      </c>
      <c r="C55" s="1">
        <f>0.6*C53</f>
        <v>1500</v>
      </c>
    </row>
    <row r="56" spans="1:3" ht="16.2" x14ac:dyDescent="0.3">
      <c r="A56" t="s">
        <v>88</v>
      </c>
      <c r="B56" s="1" t="s">
        <v>98</v>
      </c>
      <c r="C56" s="16">
        <f>Details!B20</f>
        <v>2100000</v>
      </c>
    </row>
    <row r="57" spans="1:3" ht="16.2" x14ac:dyDescent="0.3">
      <c r="A57" t="s">
        <v>91</v>
      </c>
      <c r="B57" s="1" t="s">
        <v>97</v>
      </c>
      <c r="C57" s="3">
        <f>Details!B21</f>
        <v>0</v>
      </c>
    </row>
    <row r="58" spans="1:3" ht="16.2" x14ac:dyDescent="0.3">
      <c r="A58" t="s">
        <v>92</v>
      </c>
      <c r="B58" s="1" t="s">
        <v>97</v>
      </c>
      <c r="C58" s="16">
        <f>Details!B22</f>
        <v>357000</v>
      </c>
    </row>
    <row r="59" spans="1:3" ht="28.8" x14ac:dyDescent="0.3">
      <c r="A59" s="9" t="s">
        <v>93</v>
      </c>
      <c r="B59" s="1" t="s">
        <v>39</v>
      </c>
      <c r="C59" s="1">
        <f>0.02*C37</f>
        <v>50</v>
      </c>
    </row>
    <row r="60" spans="1:3" ht="16.2" x14ac:dyDescent="0.3">
      <c r="A60" t="s">
        <v>95</v>
      </c>
      <c r="B60" s="1" t="s">
        <v>96</v>
      </c>
      <c r="C60" s="1">
        <f>C45*1000</f>
        <v>1800</v>
      </c>
    </row>
    <row r="61" spans="1:3" x14ac:dyDescent="0.3">
      <c r="A61" t="s">
        <v>99</v>
      </c>
      <c r="B61" s="1" t="s">
        <v>8</v>
      </c>
      <c r="C61" s="1">
        <v>1.5</v>
      </c>
    </row>
    <row r="62" spans="1:3" x14ac:dyDescent="0.3">
      <c r="A62" s="19" t="s">
        <v>101</v>
      </c>
      <c r="B62" s="1" t="s">
        <v>46</v>
      </c>
      <c r="C62" s="1">
        <v>10</v>
      </c>
    </row>
    <row r="63" spans="1:3" ht="16.2" x14ac:dyDescent="0.3">
      <c r="A63" s="19"/>
      <c r="B63" s="1" t="s">
        <v>85</v>
      </c>
      <c r="C63" s="1">
        <f>C62/10</f>
        <v>1</v>
      </c>
    </row>
    <row r="64" spans="1:3" x14ac:dyDescent="0.3">
      <c r="C64" s="1"/>
    </row>
    <row r="65" spans="1:3" x14ac:dyDescent="0.3">
      <c r="A65" s="2" t="s">
        <v>103</v>
      </c>
      <c r="C65" s="1"/>
    </row>
    <row r="66" spans="1:3" x14ac:dyDescent="0.3">
      <c r="A66" s="19" t="s">
        <v>104</v>
      </c>
      <c r="B66" s="1" t="s">
        <v>46</v>
      </c>
      <c r="C66" s="1">
        <f>C44</f>
        <v>123.7</v>
      </c>
    </row>
    <row r="67" spans="1:3" ht="16.2" x14ac:dyDescent="0.3">
      <c r="A67" s="19"/>
      <c r="B67" s="1" t="s">
        <v>85</v>
      </c>
      <c r="C67" s="1">
        <f>C66/10</f>
        <v>12.370000000000001</v>
      </c>
    </row>
    <row r="68" spans="1:3" ht="40.200000000000003" customHeight="1" x14ac:dyDescent="0.3">
      <c r="A68" s="11" t="s">
        <v>106</v>
      </c>
      <c r="C68" s="1"/>
    </row>
    <row r="69" spans="1:3" x14ac:dyDescent="0.3">
      <c r="A69" t="s">
        <v>107</v>
      </c>
      <c r="C69" s="1"/>
    </row>
    <row r="70" spans="1:3" ht="14.4" customHeight="1" x14ac:dyDescent="0.3">
      <c r="A70" t="s">
        <v>108</v>
      </c>
      <c r="B70" s="1" t="s">
        <v>85</v>
      </c>
      <c r="C70" s="1">
        <f>C67</f>
        <v>12.370000000000001</v>
      </c>
    </row>
    <row r="71" spans="1:3" x14ac:dyDescent="0.3">
      <c r="A71" t="s">
        <v>109</v>
      </c>
      <c r="B71" s="1" t="s">
        <v>110</v>
      </c>
      <c r="C71" s="1">
        <f>C41/10</f>
        <v>255</v>
      </c>
    </row>
    <row r="72" spans="1:3" x14ac:dyDescent="0.3">
      <c r="A72" t="s">
        <v>111</v>
      </c>
      <c r="C72" s="3">
        <v>0.6</v>
      </c>
    </row>
    <row r="73" spans="1:3" ht="16.2" x14ac:dyDescent="0.3">
      <c r="A73" t="s">
        <v>112</v>
      </c>
      <c r="B73" s="1" t="s">
        <v>85</v>
      </c>
      <c r="C73" s="1">
        <f>C53</f>
        <v>2500</v>
      </c>
    </row>
    <row r="74" spans="1:3" x14ac:dyDescent="0.3">
      <c r="A74" t="s">
        <v>113</v>
      </c>
      <c r="C74" s="3" t="str">
        <f>Details!B24</f>
        <v>Field Welding</v>
      </c>
    </row>
    <row r="75" spans="1:3" x14ac:dyDescent="0.3">
      <c r="A75" t="s">
        <v>116</v>
      </c>
      <c r="C75" s="1">
        <f>IF(C74="Shop Welding",0.9,0.8)</f>
        <v>0.8</v>
      </c>
    </row>
    <row r="77" spans="1:3" x14ac:dyDescent="0.3">
      <c r="A77" s="20" t="s">
        <v>119</v>
      </c>
      <c r="B77" s="20"/>
      <c r="C77" s="20"/>
    </row>
    <row r="78" spans="1:3" x14ac:dyDescent="0.3">
      <c r="A78" s="19" t="s">
        <v>117</v>
      </c>
      <c r="B78" s="1" t="s">
        <v>110</v>
      </c>
      <c r="C78" s="1">
        <f>C70*C71/(2*C72*C73*C75+C70)</f>
        <v>1.3075730505685284</v>
      </c>
    </row>
    <row r="79" spans="1:3" x14ac:dyDescent="0.3">
      <c r="A79" s="19"/>
      <c r="B79" s="1" t="s">
        <v>39</v>
      </c>
      <c r="C79" s="1">
        <f>C78*10</f>
        <v>13.075730505685284</v>
      </c>
    </row>
    <row r="80" spans="1:3" x14ac:dyDescent="0.3">
      <c r="A80" t="s">
        <v>118</v>
      </c>
      <c r="B80" s="1" t="s">
        <v>39</v>
      </c>
      <c r="C80" s="1">
        <f>C38</f>
        <v>25</v>
      </c>
    </row>
    <row r="81" spans="1:4" x14ac:dyDescent="0.3">
      <c r="B81" s="1"/>
      <c r="C81" t="str">
        <f>IF(C80&gt;C79,"OK","Fail")</f>
        <v>OK</v>
      </c>
      <c r="D81" t="str">
        <f>IF(C81="fail", "Increase Assumed Thickness of Pipe"," ")</f>
        <v xml:space="preserve"> </v>
      </c>
    </row>
    <row r="82" spans="1:4" ht="15.6" x14ac:dyDescent="0.3">
      <c r="A82" s="31" t="s">
        <v>176</v>
      </c>
      <c r="B82" s="1"/>
    </row>
    <row r="83" spans="1:4" x14ac:dyDescent="0.3">
      <c r="A83" s="2" t="s">
        <v>149</v>
      </c>
      <c r="B83" s="1"/>
    </row>
    <row r="84" spans="1:4" x14ac:dyDescent="0.3">
      <c r="A84" s="2" t="s">
        <v>121</v>
      </c>
      <c r="B84" s="1"/>
    </row>
    <row r="85" spans="1:4" ht="15.6" x14ac:dyDescent="0.35">
      <c r="A85" t="s">
        <v>137</v>
      </c>
      <c r="B85" s="1" t="s">
        <v>39</v>
      </c>
      <c r="C85">
        <f>C42</f>
        <v>2550</v>
      </c>
    </row>
    <row r="86" spans="1:4" ht="15.6" x14ac:dyDescent="0.35">
      <c r="A86" t="s">
        <v>122</v>
      </c>
      <c r="B86" s="1" t="s">
        <v>39</v>
      </c>
      <c r="C86">
        <f>C47</f>
        <v>6375</v>
      </c>
    </row>
    <row r="87" spans="1:4" x14ac:dyDescent="0.3">
      <c r="A87" t="s">
        <v>99</v>
      </c>
      <c r="B87" s="1" t="s">
        <v>39</v>
      </c>
      <c r="C87">
        <f>C61*1000</f>
        <v>1500</v>
      </c>
    </row>
    <row r="88" spans="1:4" ht="15.6" x14ac:dyDescent="0.35">
      <c r="A88" t="s">
        <v>123</v>
      </c>
      <c r="B88" s="1"/>
      <c r="C88">
        <f>C87/C86</f>
        <v>0.23529411764705882</v>
      </c>
    </row>
    <row r="89" spans="1:4" x14ac:dyDescent="0.3">
      <c r="A89" t="s">
        <v>125</v>
      </c>
      <c r="B89" s="1"/>
      <c r="C89">
        <f>_xlfn.XLOOKUP(C88,'Load co-efficient Cd'!A4:A28,'Load co-efficient Cd'!C4:C28,"Fis H and Bd",1)</f>
        <v>0.46100000000000002</v>
      </c>
    </row>
    <row r="90" spans="1:4" ht="16.2" x14ac:dyDescent="0.3">
      <c r="A90" t="s">
        <v>124</v>
      </c>
      <c r="B90" s="1" t="s">
        <v>96</v>
      </c>
      <c r="C90">
        <f>C60</f>
        <v>1800</v>
      </c>
    </row>
    <row r="91" spans="1:4" ht="28.8" x14ac:dyDescent="0.3">
      <c r="A91" s="9" t="s">
        <v>136</v>
      </c>
      <c r="B91" s="1"/>
    </row>
    <row r="92" spans="1:4" x14ac:dyDescent="0.3">
      <c r="A92" t="s">
        <v>139</v>
      </c>
      <c r="B92" s="1" t="s">
        <v>140</v>
      </c>
      <c r="C92">
        <f>C89*C90*C85*C86/1000000</f>
        <v>13489.436250000001</v>
      </c>
      <c r="D92">
        <f>ROUNDUP(C92,0)</f>
        <v>13490</v>
      </c>
    </row>
    <row r="93" spans="1:4" x14ac:dyDescent="0.3">
      <c r="B93" s="1"/>
    </row>
    <row r="94" spans="1:4" x14ac:dyDescent="0.3">
      <c r="B94" s="1"/>
    </row>
    <row r="95" spans="1:4" x14ac:dyDescent="0.3">
      <c r="B95" s="1"/>
    </row>
    <row r="96" spans="1:4" x14ac:dyDescent="0.3">
      <c r="B96" s="1"/>
    </row>
    <row r="97" spans="1:4" x14ac:dyDescent="0.3">
      <c r="B97" s="1"/>
    </row>
    <row r="98" spans="1:4" x14ac:dyDescent="0.3">
      <c r="B98" s="1"/>
    </row>
    <row r="99" spans="1:4" x14ac:dyDescent="0.3">
      <c r="A99" s="2" t="s">
        <v>141</v>
      </c>
      <c r="B99" s="1"/>
    </row>
    <row r="100" spans="1:4" x14ac:dyDescent="0.3">
      <c r="A100" t="s">
        <v>142</v>
      </c>
      <c r="B100" s="1" t="s">
        <v>140</v>
      </c>
      <c r="C100">
        <f>3.14*(C37/1000+C38/1000)*C38/1000*7850</f>
        <v>1555.9681249999999</v>
      </c>
    </row>
    <row r="101" spans="1:4" x14ac:dyDescent="0.3">
      <c r="A101" t="s">
        <v>143</v>
      </c>
      <c r="B101" s="1" t="s">
        <v>140</v>
      </c>
      <c r="C101">
        <v>0</v>
      </c>
    </row>
    <row r="102" spans="1:4" x14ac:dyDescent="0.3">
      <c r="A102" t="s">
        <v>144</v>
      </c>
      <c r="B102" s="1" t="s">
        <v>140</v>
      </c>
      <c r="C102">
        <v>0</v>
      </c>
    </row>
    <row r="103" spans="1:4" x14ac:dyDescent="0.3">
      <c r="A103" t="s">
        <v>145</v>
      </c>
      <c r="B103" s="1" t="s">
        <v>140</v>
      </c>
      <c r="C103">
        <f>3.15*(C37/1000)^2/4*1000</f>
        <v>4921.875</v>
      </c>
    </row>
    <row r="104" spans="1:4" x14ac:dyDescent="0.3">
      <c r="A104" t="s">
        <v>159</v>
      </c>
      <c r="B104" s="1"/>
      <c r="C104">
        <v>2</v>
      </c>
    </row>
    <row r="105" spans="1:4" x14ac:dyDescent="0.3">
      <c r="A105" t="s">
        <v>146</v>
      </c>
      <c r="B105" s="1" t="s">
        <v>140</v>
      </c>
      <c r="C105">
        <f>(C100+C101+C102+C103)/C104</f>
        <v>3238.9215624999997</v>
      </c>
      <c r="D105">
        <f>ROUNDUP(C105,0)</f>
        <v>3239</v>
      </c>
    </row>
    <row r="106" spans="1:4" x14ac:dyDescent="0.3">
      <c r="B106" s="1"/>
    </row>
    <row r="107" spans="1:4" x14ac:dyDescent="0.3">
      <c r="A107" s="19" t="s">
        <v>147</v>
      </c>
      <c r="B107" s="1" t="s">
        <v>140</v>
      </c>
      <c r="C107">
        <f>D92+D105</f>
        <v>16729</v>
      </c>
    </row>
    <row r="108" spans="1:4" x14ac:dyDescent="0.3">
      <c r="A108" s="19"/>
      <c r="B108" s="1" t="s">
        <v>148</v>
      </c>
      <c r="C108">
        <f>C107/100</f>
        <v>167.29</v>
      </c>
      <c r="D108" s="13">
        <f>ROUNDUP(C108,-1)</f>
        <v>170</v>
      </c>
    </row>
    <row r="109" spans="1:4" x14ac:dyDescent="0.3">
      <c r="B109" s="1"/>
    </row>
    <row r="110" spans="1:4" x14ac:dyDescent="0.3">
      <c r="A110" s="2" t="s">
        <v>150</v>
      </c>
      <c r="B110" s="1"/>
    </row>
    <row r="111" spans="1:4" x14ac:dyDescent="0.3">
      <c r="A111" t="s">
        <v>151</v>
      </c>
      <c r="B111" s="1" t="s">
        <v>51</v>
      </c>
      <c r="C111" s="35">
        <f>Details!B26</f>
        <v>180</v>
      </c>
    </row>
    <row r="112" spans="1:4" x14ac:dyDescent="0.3">
      <c r="A112" t="s">
        <v>152</v>
      </c>
      <c r="B112" s="1"/>
      <c r="C112">
        <v>1</v>
      </c>
    </row>
    <row r="113" spans="1:3" x14ac:dyDescent="0.3">
      <c r="A113" t="s">
        <v>153</v>
      </c>
      <c r="B113" s="1" t="s">
        <v>51</v>
      </c>
      <c r="C113" s="35">
        <f>Details!B27</f>
        <v>30</v>
      </c>
    </row>
    <row r="114" spans="1:3" ht="15.6" x14ac:dyDescent="0.35">
      <c r="A114" t="s">
        <v>170</v>
      </c>
      <c r="B114" s="1"/>
      <c r="C114">
        <f>IF(C111=180,_xlfn.XLOOKUP(C113,'CWC and IWWA Tables'!B13:B19,'CWC and IWWA Tables'!F13:F19,"Error: Change Load Spread or Bedding angle",1),IF('Final Report'!C111=0,_xlfn.XLOOKUP('Final Report'!C113,'CWC and IWWA Tables'!B4:B10,'CWC and IWWA Tables'!F4:F10,"Error: Change Load spread angle Bedding Angle ",1)))</f>
        <v>0.108</v>
      </c>
    </row>
    <row r="115" spans="1:3" x14ac:dyDescent="0.3">
      <c r="A115" t="s">
        <v>155</v>
      </c>
      <c r="B115" s="1" t="s">
        <v>148</v>
      </c>
      <c r="C115">
        <f>D108</f>
        <v>170</v>
      </c>
    </row>
    <row r="116" spans="1:3" x14ac:dyDescent="0.3">
      <c r="A116" s="19" t="s">
        <v>156</v>
      </c>
      <c r="B116" s="1" t="s">
        <v>8</v>
      </c>
      <c r="C116">
        <f>C37/2/1000</f>
        <v>1.25</v>
      </c>
    </row>
    <row r="117" spans="1:3" x14ac:dyDescent="0.3">
      <c r="A117" s="19"/>
      <c r="B117" s="1" t="s">
        <v>110</v>
      </c>
      <c r="C117">
        <f>C116*100</f>
        <v>125</v>
      </c>
    </row>
    <row r="118" spans="1:3" ht="16.2" x14ac:dyDescent="0.3">
      <c r="A118" t="s">
        <v>88</v>
      </c>
      <c r="B118" s="1" t="s">
        <v>85</v>
      </c>
      <c r="C118" s="28">
        <f>C56</f>
        <v>2100000</v>
      </c>
    </row>
    <row r="119" spans="1:3" ht="28.8" x14ac:dyDescent="0.3">
      <c r="A119" s="9" t="s">
        <v>157</v>
      </c>
      <c r="B119" s="1" t="s">
        <v>160</v>
      </c>
      <c r="C119">
        <f>(C38^3/12)/1000</f>
        <v>1.3020833333333333</v>
      </c>
    </row>
    <row r="120" spans="1:3" x14ac:dyDescent="0.3">
      <c r="A120" t="s">
        <v>161</v>
      </c>
      <c r="B120" s="1" t="s">
        <v>56</v>
      </c>
      <c r="C120">
        <v>90</v>
      </c>
    </row>
    <row r="121" spans="1:3" ht="16.2" x14ac:dyDescent="0.3">
      <c r="A121" t="s">
        <v>162</v>
      </c>
      <c r="B121" s="1" t="s">
        <v>85</v>
      </c>
      <c r="C121" s="35">
        <f>Details!B28</f>
        <v>80</v>
      </c>
    </row>
    <row r="122" spans="1:3" ht="16.2" x14ac:dyDescent="0.3">
      <c r="A122" t="s">
        <v>164</v>
      </c>
      <c r="B122" s="1" t="s">
        <v>85</v>
      </c>
      <c r="C122">
        <v>0.2</v>
      </c>
    </row>
    <row r="123" spans="1:3" ht="16.2" x14ac:dyDescent="0.3">
      <c r="A123" t="s">
        <v>166</v>
      </c>
      <c r="B123" s="1" t="s">
        <v>85</v>
      </c>
      <c r="C123">
        <f>C70</f>
        <v>12.370000000000001</v>
      </c>
    </row>
    <row r="124" spans="1:3" x14ac:dyDescent="0.3">
      <c r="A124" t="s">
        <v>169</v>
      </c>
      <c r="B124" s="1" t="s">
        <v>110</v>
      </c>
      <c r="C124">
        <f>0.02*C41/10</f>
        <v>5.0999999999999996</v>
      </c>
    </row>
    <row r="126" spans="1:3" x14ac:dyDescent="0.3">
      <c r="A126" s="2" t="s">
        <v>167</v>
      </c>
    </row>
    <row r="127" spans="1:3" ht="42.6" customHeight="1" x14ac:dyDescent="0.3"/>
    <row r="129" spans="1:4" ht="15.6" x14ac:dyDescent="0.35">
      <c r="A129" t="s">
        <v>174</v>
      </c>
      <c r="B129" t="s">
        <v>110</v>
      </c>
      <c r="C129" s="29">
        <f>(C112*C114*C115*C117^3)/(C118*C119+0.061*C121*C117^3-2*C122*C114*C117^3)</f>
        <v>2.943817342226783</v>
      </c>
    </row>
    <row r="131" spans="1:4" x14ac:dyDescent="0.3">
      <c r="A131" s="30" t="s">
        <v>171</v>
      </c>
      <c r="C131" t="str">
        <f>IF(C129&lt;C124,"OK","Fail")</f>
        <v>OK</v>
      </c>
      <c r="D131" t="str">
        <f>IF(C131="fail", "Increase Assumed Thickness of Pipe"," ")</f>
        <v xml:space="preserve"> </v>
      </c>
    </row>
    <row r="133" spans="1:4" x14ac:dyDescent="0.3">
      <c r="A133" s="2" t="s">
        <v>172</v>
      </c>
    </row>
    <row r="134" spans="1:4" ht="31.2" customHeight="1" x14ac:dyDescent="0.3"/>
    <row r="136" spans="1:4" ht="15.6" x14ac:dyDescent="0.35">
      <c r="A136" t="s">
        <v>173</v>
      </c>
      <c r="B136" s="1" t="s">
        <v>110</v>
      </c>
      <c r="C136" s="28">
        <f>(C112*C114*C115*C117^3)/(C118*C119+0.061*C121*C117^3+2*C123*C114*C117^3)</f>
        <v>2.0509566662794128</v>
      </c>
    </row>
    <row r="138" spans="1:4" x14ac:dyDescent="0.3">
      <c r="A138" s="30" t="s">
        <v>175</v>
      </c>
      <c r="C138" t="str">
        <f>IF(C136&lt;C124,"OK", "Fail")</f>
        <v>OK</v>
      </c>
      <c r="D138" t="str">
        <f>IF(C138="fail", "Increase Assumed Thickness of Pipe"," ")</f>
        <v xml:space="preserve"> </v>
      </c>
    </row>
    <row r="140" spans="1:4" ht="15.6" x14ac:dyDescent="0.3">
      <c r="A140" s="31" t="s">
        <v>177</v>
      </c>
    </row>
    <row r="141" spans="1:4" ht="40.200000000000003" customHeight="1" x14ac:dyDescent="0.3">
      <c r="A141" s="15" t="s">
        <v>178</v>
      </c>
    </row>
    <row r="142" spans="1:4" ht="15.6" x14ac:dyDescent="0.35">
      <c r="A142" t="s">
        <v>186</v>
      </c>
      <c r="C142">
        <f>IF(C111=180,_xlfn.XLOOKUP(C113,'CWC and IWWA Tables'!B13:B19,'CWC and IWWA Tables'!C13:C19,"Error: Change Load Spread or Bedding angle",1),IF('Final Report'!C111=0,_xlfn.XLOOKUP('Final Report'!C113,'CWC and IWWA Tables'!B4:B10,'CWC and IWWA Tables'!C4:C10,"Error: Change Load spread angle Bedding Angle ",1)))</f>
        <v>0.23499999999999999</v>
      </c>
    </row>
    <row r="143" spans="1:4" x14ac:dyDescent="0.3">
      <c r="A143" t="s">
        <v>188</v>
      </c>
      <c r="B143" s="1" t="s">
        <v>189</v>
      </c>
      <c r="C143" s="29">
        <f>(C142*C115*C117*C118*C119)/(C118*C119+0.061*C121*C117^3-2*C122*C114*C117^3)</f>
        <v>1120.9674833247816</v>
      </c>
    </row>
    <row r="144" spans="1:4" ht="16.8" x14ac:dyDescent="0.35">
      <c r="A144" t="s">
        <v>190</v>
      </c>
      <c r="B144" s="1" t="s">
        <v>85</v>
      </c>
      <c r="C144">
        <f>(C143*6)/(C38/10)^2</f>
        <v>1076.1287839917902</v>
      </c>
    </row>
    <row r="145" spans="1:3" ht="16.8" x14ac:dyDescent="0.35">
      <c r="A145" t="s">
        <v>192</v>
      </c>
      <c r="B145" s="1" t="s">
        <v>85</v>
      </c>
      <c r="C145">
        <f>C122*(C37/10)/(2*(C38/10))</f>
        <v>10</v>
      </c>
    </row>
    <row r="146" spans="1:3" ht="16.2" x14ac:dyDescent="0.3">
      <c r="A146" t="s">
        <v>194</v>
      </c>
      <c r="B146" s="1" t="s">
        <v>85</v>
      </c>
      <c r="C146">
        <f>C145+C144</f>
        <v>1086.1287839917902</v>
      </c>
    </row>
    <row r="148" spans="1:3" x14ac:dyDescent="0.3">
      <c r="A148" s="30" t="s">
        <v>196</v>
      </c>
      <c r="C148" t="str">
        <f>IF(C146&lt;C54,"OK","Fail")</f>
        <v>OK</v>
      </c>
    </row>
    <row r="150" spans="1:3" ht="18" x14ac:dyDescent="0.35">
      <c r="A150" s="34" t="s">
        <v>197</v>
      </c>
    </row>
    <row r="151" spans="1:3" ht="43.2" customHeight="1" x14ac:dyDescent="0.3">
      <c r="A151" s="11" t="s">
        <v>198</v>
      </c>
    </row>
    <row r="152" spans="1:3" ht="16.2" x14ac:dyDescent="0.3">
      <c r="A152" t="s">
        <v>199</v>
      </c>
      <c r="B152" s="1" t="s">
        <v>85</v>
      </c>
      <c r="C152" s="29">
        <f>(C142*C115*C117*C118*C38/10)/(2*(C118*C119+0.061*C121*C117^3+2*C123*C114*C117^3))</f>
        <v>749.73860356214061</v>
      </c>
    </row>
    <row r="153" spans="1:3" ht="16.8" x14ac:dyDescent="0.35">
      <c r="A153" t="s">
        <v>192</v>
      </c>
      <c r="B153" s="1" t="s">
        <v>85</v>
      </c>
      <c r="C153">
        <f>(C123*C37/10)/(2*C38/10)</f>
        <v>618.50000000000011</v>
      </c>
    </row>
    <row r="154" spans="1:3" ht="16.8" x14ac:dyDescent="0.35">
      <c r="A154" t="s">
        <v>200</v>
      </c>
      <c r="B154" s="1" t="s">
        <v>85</v>
      </c>
      <c r="C154">
        <f>C152+C153</f>
        <v>1368.2386035621407</v>
      </c>
    </row>
    <row r="156" spans="1:3" x14ac:dyDescent="0.3">
      <c r="A156" s="30" t="s">
        <v>201</v>
      </c>
      <c r="C156" t="str">
        <f>IF(C154&lt;C55,"OK","Fail")</f>
        <v>OK</v>
      </c>
    </row>
  </sheetData>
  <mergeCells count="13">
    <mergeCell ref="A1:D1"/>
    <mergeCell ref="C2:D2"/>
    <mergeCell ref="A10:D10"/>
    <mergeCell ref="A66:A67"/>
    <mergeCell ref="A77:C77"/>
    <mergeCell ref="A78:A79"/>
    <mergeCell ref="A107:A108"/>
    <mergeCell ref="A116:A117"/>
    <mergeCell ref="A17:C17"/>
    <mergeCell ref="A25:C25"/>
    <mergeCell ref="A30:C30"/>
    <mergeCell ref="A35:C35"/>
    <mergeCell ref="A62:A63"/>
  </mergeCells>
  <conditionalFormatting sqref="B33">
    <cfRule type="cellIs" dxfId="11" priority="11" operator="equal">
      <formula>"FAIL"</formula>
    </cfRule>
    <cfRule type="cellIs" dxfId="10" priority="12" operator="equal">
      <formula>"OK"</formula>
    </cfRule>
  </conditionalFormatting>
  <conditionalFormatting sqref="C81">
    <cfRule type="cellIs" dxfId="9" priority="9" operator="equal">
      <formula>"fail"</formula>
    </cfRule>
    <cfRule type="cellIs" dxfId="8" priority="10" operator="equal">
      <formula>"OK"</formula>
    </cfRule>
  </conditionalFormatting>
  <conditionalFormatting sqref="C131">
    <cfRule type="cellIs" dxfId="7" priority="7" operator="equal">
      <formula>"OK"</formula>
    </cfRule>
    <cfRule type="cellIs" dxfId="6" priority="8" operator="equal">
      <formula>"Fail"</formula>
    </cfRule>
  </conditionalFormatting>
  <conditionalFormatting sqref="C138">
    <cfRule type="cellIs" dxfId="5" priority="5" operator="equal">
      <formula>"Fail"</formula>
    </cfRule>
    <cfRule type="cellIs" dxfId="4" priority="6" operator="equal">
      <formula>"OK"</formula>
    </cfRule>
  </conditionalFormatting>
  <conditionalFormatting sqref="C148">
    <cfRule type="cellIs" dxfId="3" priority="3" operator="equal">
      <formula>"Fail"</formula>
    </cfRule>
    <cfRule type="cellIs" dxfId="2" priority="4" operator="equal">
      <formula>"OK"</formula>
    </cfRule>
  </conditionalFormatting>
  <conditionalFormatting sqref="C156">
    <cfRule type="cellIs" dxfId="1" priority="1" operator="equal">
      <formula>"Fail"</formula>
    </cfRule>
    <cfRule type="cellIs" dxfId="0" priority="2" operator="equal">
      <formula>"OK"</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Details</vt:lpstr>
      <vt:lpstr>Calculations</vt:lpstr>
      <vt:lpstr>Pipe Sizes</vt:lpstr>
      <vt:lpstr>Grade of steel</vt:lpstr>
      <vt:lpstr>Load co-efficient Cd</vt:lpstr>
      <vt:lpstr>CWC and IWWA Tables</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Abhyudaya sharma</dc:creator>
  <cp:lastModifiedBy>Abhyudaya sharma</cp:lastModifiedBy>
  <dcterms:created xsi:type="dcterms:W3CDTF">2015-06-05T18:17:20Z</dcterms:created>
  <dcterms:modified xsi:type="dcterms:W3CDTF">2026-10-27T20:18:36Z</dcterms:modified>
</cp:coreProperties>
</file>